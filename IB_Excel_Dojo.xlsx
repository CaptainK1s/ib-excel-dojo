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Start" sheetId="1" state="visible" r:id="rId3"/>
    <sheet name="01_Shortcuts" sheetId="2" state="visible" r:id="rId4"/>
    <sheet name="02_Format_Gym" sheetId="3" state="visible" r:id="rId5"/>
    <sheet name="03_Formula_Dojo" sheetId="4" state="visible" r:id="rId6"/>
    <sheet name="04_3Statement" sheetId="5" state="visible" r:id="rId7"/>
    <sheet name="05_Sensitivity" sheetId="6" state="visible" r:id="rId8"/>
    <sheet name="06_Comps" sheetId="7" state="visible" r:id="rId9"/>
    <sheet name="07_Checks" sheetId="8" state="visible" r:id="rId10"/>
    <sheet name="08_Plan" sheetId="9" state="visible" r:id="rId11"/>
  </sheets>
  <definedNames>
    <definedName function="false" hidden="false" localSheetId="0" name="_xlnm.Print_Titles" vbProcedure="false">00_Start!$1:$2</definedName>
    <definedName function="false" hidden="false" localSheetId="1" name="_xlnm.Print_Titles" vbProcedure="false">01_Shortcuts!$1:$2</definedName>
    <definedName function="false" hidden="true" localSheetId="1" name="_xlnm._FilterDatabase" vbProcedure="false">01_Shortcuts!$B$4:$H$80</definedName>
    <definedName function="false" hidden="false" localSheetId="2" name="_xlnm.Print_Titles" vbProcedure="false">02_Format_Gym!$1:$2</definedName>
    <definedName function="false" hidden="false" localSheetId="3" name="_xlnm.Print_Titles" vbProcedure="false">03_Formula_Dojo!$1:$2</definedName>
    <definedName function="false" hidden="false" localSheetId="4" name="_xlnm.Print_Titles" vbProcedure="false">04_3Statement!$1:$2</definedName>
    <definedName function="false" hidden="false" localSheetId="5" name="_xlnm.Print_Titles" vbProcedure="false">05_Sensitivity!$1:$2</definedName>
    <definedName function="false" hidden="false" localSheetId="6" name="_xlnm.Print_Titles" vbProcedure="false">06_Comps!$1:$2</definedName>
    <definedName function="false" hidden="false" localSheetId="7" name="_xlnm.Print_Titles" vbProcedure="false">07_Checks!$1:$2</definedName>
    <definedName function="false" hidden="false" localSheetId="8" name="_xlnm.Print_Titles" vbProcedure="false">08_Plan!$1:$2</definedName>
    <definedName function="false" hidden="false" name="ExitMultiple" vbProcedure="false">05_Sensitivity!$C$6</definedName>
    <definedName function="false" hidden="false" name="TaxRate_FY26" vbProcedure="false">04_3Statement!$G$11</definedName>
    <definedName function="false" hidden="false" name="WACC_Base" vbProcedure="false">05_Sensitivity!$C$11</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D7" authorId="0">
      <text>
        <r>
          <rPr>
            <sz val="10"/>
            <rFont val="Arial"/>
            <family val="2"/>
          </rPr>
          <t xml:space="preserve">Source: management CIM base case, 8/2026. Street is 7.5% long-run.</t>
        </r>
      </text>
    </comment>
    <comment ref="D8" authorId="0">
      <text>
        <r>
          <rPr>
            <sz val="10"/>
            <rFont val="Arial"/>
            <family val="2"/>
          </rPr>
          <t xml:space="preserve">Gross margin expansion from mix shift to aftermarket.</t>
        </r>
      </text>
    </comment>
    <comment ref="D9" authorId="0">
      <text>
        <r>
          <rPr>
            <sz val="10"/>
            <rFont val="Arial"/>
            <family val="2"/>
          </rPr>
          <t xml:space="preserve">Operating leverage. Do not cut below 16% without a cost-out program.</t>
        </r>
      </text>
    </comment>
    <comment ref="D10" authorId="0">
      <text>
        <r>
          <rPr>
            <sz val="10"/>
            <rFont val="Arial"/>
            <family val="2"/>
          </rPr>
          <t xml:space="preserve">Holds near historical ~4% of sales.</t>
        </r>
      </text>
    </comment>
    <comment ref="D11" authorId="0">
      <text>
        <r>
          <rPr>
            <sz val="10"/>
            <rFont val="Arial"/>
            <family val="2"/>
          </rPr>
          <t xml:space="preserve">Source: FY25 10-K rate recon, ~statutory 25%.</t>
        </r>
      </text>
    </comment>
    <comment ref="D12" authorId="0">
      <text>
        <r>
          <rPr>
            <sz val="10"/>
            <rFont val="Arial"/>
            <family val="2"/>
          </rPr>
          <t xml:space="preserve">AR+Inv−AP. Held at 12% in the forecast.</t>
        </r>
      </text>
    </comment>
    <comment ref="D13" authorId="0">
      <text>
        <r>
          <rPr>
            <sz val="10"/>
            <rFont val="Arial"/>
            <family val="2"/>
          </rPr>
          <t xml:space="preserve">Slightly above D&amp;A to fund the capacity add.</t>
        </r>
      </text>
    </comment>
    <comment ref="D14" authorId="0">
      <text>
        <r>
          <rPr>
            <sz val="10"/>
            <rFont val="Arial"/>
            <family val="2"/>
          </rPr>
          <t xml:space="preserve">Blended coupon. Circularity: interest depends on debt, debt on cash. See Checks.</t>
        </r>
      </text>
    </comment>
    <comment ref="D15" authorId="0">
      <text>
        <r>
          <rPr>
            <sz val="10"/>
            <rFont val="Arial"/>
            <family val="2"/>
          </rPr>
          <t xml:space="preserve">Amortization schedule per credit agreement.</t>
        </r>
      </text>
    </comment>
    <comment ref="D16" authorId="0">
      <text>
        <r>
          <rPr>
            <sz val="10"/>
            <rFont val="Arial"/>
            <family val="2"/>
          </rPr>
          <t xml:space="preserve">Board policy. Residual cash builds on BS.</t>
        </r>
      </text>
    </comment>
  </commentList>
</comments>
</file>

<file path=xl/sharedStrings.xml><?xml version="1.0" encoding="utf-8"?>
<sst xmlns="http://schemas.openxmlformats.org/spreadsheetml/2006/main" count="878" uniqueCount="655">
  <si>
    <t xml:space="preserve">IB EXCEL DOJO</t>
  </si>
  <si>
    <t xml:space="preserve">Practice workbook — model like a first-year investment banking analyst</t>
  </si>
  <si>
    <t xml:space="preserve">This file is a gym, not a lecture. Work left-to-right across the tabs. Blue font + yellow fill = you type. Black = formula. Green = link from another sheet.</t>
  </si>
  <si>
    <t xml:space="preserve">HOW TO USE THIS FILE</t>
  </si>
  <si>
    <t xml:space="preserve">#</t>
  </si>
  <si>
    <t xml:space="preserve">TAB</t>
  </si>
  <si>
    <t xml:space="preserve">WHAT YOU DO</t>
  </si>
  <si>
    <t xml:space="preserve">1</t>
  </si>
  <si>
    <t xml:space="preserve">01_Shortcuts</t>
  </si>
  <si>
    <t xml:space="preserve">Print it or keep it open. Drill the boxed 'Week 1' shortcuts until they are muscle memory. No mouse.</t>
  </si>
  <si>
    <t xml:space="preserve">2</t>
  </si>
  <si>
    <t xml:space="preserve">02_Format_Gym</t>
  </si>
  <si>
    <t xml:space="preserve">A deliberately ugly tab. Rebuild it to bank standard using only keyboard shortcuts. Check against the style rules.</t>
  </si>
  <si>
    <t xml:space="preserve">3</t>
  </si>
  <si>
    <t xml:space="preserve">03_Formula_Dojo</t>
  </si>
  <si>
    <t xml:space="preserve">20 live drills: INDEX/MATCH, XLOOKUP-style lookups, SUMIFS, CAGR, IRR, flags, error traps.</t>
  </si>
  <si>
    <t xml:space="preserve">4</t>
  </si>
  <si>
    <t xml:space="preserve">04_3Statement</t>
  </si>
  <si>
    <t xml:space="preserve">Mini 3-statement model for Apex Industrial. Change yellow assumptions and watch IS / BS / CFS and checks move.</t>
  </si>
  <si>
    <t xml:space="preserve">5</t>
  </si>
  <si>
    <t xml:space="preserve">05_Sensitivity</t>
  </si>
  <si>
    <t xml:space="preserve">Two-way WACC × g table and operating-case toggle. This is how decks get 'sensitized' at 2 a.m.</t>
  </si>
  <si>
    <t xml:space="preserve">6</t>
  </si>
  <si>
    <t xml:space="preserve">06_Comps</t>
  </si>
  <si>
    <t xml:space="preserve">Trading comps math: equity value → enterprise value → multiples → football-field stats.</t>
  </si>
  <si>
    <t xml:space="preserve">7</t>
  </si>
  <si>
    <t xml:space="preserve">07_Checks</t>
  </si>
  <si>
    <t xml:space="preserve">The page a VP actually looks at. Every model needs a check dashboard that is impossible to miss.</t>
  </si>
  <si>
    <t xml:space="preserve">8</t>
  </si>
  <si>
    <t xml:space="preserve">08_Plan</t>
  </si>
  <si>
    <t xml:space="preserve">14-day practice plan. 25–40 minutes a day beats a 6-hour cram Sunday night.</t>
  </si>
  <si>
    <t xml:space="preserve">COLOR LANGUAGE (MEMORIZE THIS — EVERY BANK USES A VERSION OF IT)</t>
  </si>
  <si>
    <t xml:space="preserve">Blue font  RGB 0,0,255</t>
  </si>
  <si>
    <t xml:space="preserve">Hardcoded inputs. Historicals you typed. Growth rates. Tax rate. Anything a human decided.</t>
  </si>
  <si>
    <t xml:space="preserve">Black font  RGB 0,0,0</t>
  </si>
  <si>
    <t xml:space="preserve">Formulas. If you can write it as a formula, it is black. Never hardcode a calculated number.</t>
  </si>
  <si>
    <t xml:space="preserve">Green font  RGB 0,128,0</t>
  </si>
  <si>
    <t xml:space="preserve">Cross-sheet links (Sheet!A1). Tells a reviewer 'this number lives somewhere else.'</t>
  </si>
  <si>
    <t xml:space="preserve">Yellow fill</t>
  </si>
  <si>
    <t xml:space="preserve">Key assumptions the user is supposed to toggle. Blue font + yellow fill = the control panel.</t>
  </si>
  <si>
    <t xml:space="preserve">Red / green check cells</t>
  </si>
  <si>
    <t xml:space="preserve">Model integrity. BS must balance. CFS ending cash must equal BS cash. Never ship without these.</t>
  </si>
  <si>
    <t xml:space="preserve">HOUSE RULES OF A LIVE DEAL MODEL</t>
  </si>
  <si>
    <t xml:space="preserve">▸</t>
  </si>
  <si>
    <t xml:space="preserve">One formula, copied across. The FY26 formula must drag to FY30 with F4 anchors — never rewrite year by year.</t>
  </si>
  <si>
    <t xml:space="preserve">Assumptions live in one place. Formulas reference cells. Nobody should hunt through 40 tabs for the tax rate.</t>
  </si>
  <si>
    <t xml:space="preserve">Units in the header, not the cell. 'Revenue ($mm)' — then the number is 510, not 510,000,000.</t>
  </si>
  <si>
    <t xml:space="preserve">Negatives in parentheses. Custom format  $#,##0;($#,##0);"-"  so zeros show as dashes.</t>
  </si>
  <si>
    <t xml:space="preserve">No merged cells in the number grid. Use Center Across Selection (Format Cells → Alignment) if you must span a title.</t>
  </si>
  <si>
    <t xml:space="preserve">Error checks on their own tab AND a visible 'BALANCES / BREAKS' flag at the top of every output sheet.</t>
  </si>
  <si>
    <t xml:space="preserve">Historical = blue. Forecast = black formulas. The color change is the fact / forecast boundary.</t>
  </si>
  <si>
    <t xml:space="preserve">Never leave a DIV/0 errors or REF errors in a file that someone else will open. Wrap risky divisions in IF or IFERROR.</t>
  </si>
  <si>
    <t xml:space="preserve">Comments (Shift+F2) on any hardcoded assumption that came from a 10-K, CIM, or research note. Source it.</t>
  </si>
  <si>
    <t xml:space="preserve">Save versions. Apex_v3_pre-IC.xlsx. The file name is part of the control system.</t>
  </si>
  <si>
    <t xml:space="preserve">THE MINDSET</t>
  </si>
  <si>
    <t xml:space="preserve">Investment bankers are not faster at Excel because they know obscure functions. They are faster because they never touch the mouse, they never retype a formula that can be copied, and they build every file so a VP can audit it in 90 seconds: blue is input, black is math, green is a link, yellow is what we are toggling on this call. That is the whole sport. The rest is reps.</t>
  </si>
  <si>
    <t xml:space="preserve">Built for practice. Numbers are hypothetical. Not advice, not a live model.</t>
  </si>
  <si>
    <t xml:space="preserve">01  ·  SHORTCUT BIBLE</t>
  </si>
  <si>
    <t xml:space="preserve">Windows-first (what banks actually use). Mac notes in the last column. Drill the starred rows first.</t>
  </si>
  <si>
    <t xml:space="preserve">GROUP</t>
  </si>
  <si>
    <t xml:space="preserve">ACTION</t>
  </si>
  <si>
    <t xml:space="preserve">WINDOWS</t>
  </si>
  <si>
    <t xml:space="preserve">WHY BANKERS CARE</t>
  </si>
  <si>
    <t xml:space="preserve">TIER</t>
  </si>
  <si>
    <t xml:space="preserve">MAC</t>
  </si>
  <si>
    <t xml:space="preserve">DRILL</t>
  </si>
  <si>
    <t xml:space="preserve">NAV</t>
  </si>
  <si>
    <t xml:space="preserve">Jump to edge of block</t>
  </si>
  <si>
    <t xml:space="preserve">Ctrl + Arrow</t>
  </si>
  <si>
    <t xml:space="preserve">Cross a 400-row IS in one keystroke</t>
  </si>
  <si>
    <t xml:space="preserve">★ WEEK 1</t>
  </si>
  <si>
    <t xml:space="preserve">Stand in C20, jump to last number</t>
  </si>
  <si>
    <t xml:space="preserve">Select to edge of block</t>
  </si>
  <si>
    <t xml:space="preserve">Ctrl + Shift + Arrow</t>
  </si>
  <si>
    <t xml:space="preserve">Highlight an entire forecast row to copy</t>
  </si>
  <si>
    <t xml:space="preserve">Select FY26–FY30 without the mouse</t>
  </si>
  <si>
    <t xml:space="preserve">Jump to cell / Go To</t>
  </si>
  <si>
    <t xml:space="preserve">F5  or  Ctrl + G</t>
  </si>
  <si>
    <t xml:space="preserve">Type a cell name, land on it</t>
  </si>
  <si>
    <t xml:space="preserve">F5 / Ctrl + G</t>
  </si>
  <si>
    <t xml:space="preserve">F5 → Checks!C6</t>
  </si>
  <si>
    <t xml:space="preserve">Move between sheets</t>
  </si>
  <si>
    <t xml:space="preserve">Ctrl + PgUp / PgDn</t>
  </si>
  <si>
    <t xml:space="preserve">Tab-hop a 12-sheet model</t>
  </si>
  <si>
    <t xml:space="preserve">Fn + Ctrl + Up/Down (varies)</t>
  </si>
  <si>
    <t xml:space="preserve">Loop 00 → 08 and back</t>
  </si>
  <si>
    <t xml:space="preserve">Select whole row / col</t>
  </si>
  <si>
    <t xml:space="preserve">Shift + Space  /  Ctrl + Space</t>
  </si>
  <si>
    <t xml:space="preserve">Insert, delete, or format a line item</t>
  </si>
  <si>
    <t xml:space="preserve">WEEK 1</t>
  </si>
  <si>
    <t xml:space="preserve">Shift + Space / Ctrl + Space</t>
  </si>
  <si>
    <t xml:space="preserve">Select row 40, insert one row</t>
  </si>
  <si>
    <t xml:space="preserve">Freeze panes</t>
  </si>
  <si>
    <t xml:space="preserve">Alt W F F</t>
  </si>
  <si>
    <t xml:space="preserve">Keep years visible while you scroll</t>
  </si>
  <si>
    <t xml:space="preserve">Layout or Alt sequence</t>
  </si>
  <si>
    <t xml:space="preserve">Freeze below year headers</t>
  </si>
  <si>
    <t xml:space="preserve">EDIT</t>
  </si>
  <si>
    <t xml:space="preserve">Edit in cell</t>
  </si>
  <si>
    <t xml:space="preserve">F2</t>
  </si>
  <si>
    <t xml:space="preserve">See the formula without the mouse</t>
  </si>
  <si>
    <t xml:space="preserve">F2 / Ctrl + U</t>
  </si>
  <si>
    <t xml:space="preserve">F2 a formula, read the colors</t>
  </si>
  <si>
    <t xml:space="preserve">Toggle $ absolute ref</t>
  </si>
  <si>
    <t xml:space="preserve">F4</t>
  </si>
  <si>
    <t xml:space="preserve">Lock the tax-rate cell as you copy right</t>
  </si>
  <si>
    <t xml:space="preserve">Cmd + T  (Excel Mac)</t>
  </si>
  <si>
    <t xml:space="preserve">Write =B10*(1+$B$5) using only F4</t>
  </si>
  <si>
    <t xml:space="preserve">Fill down / fill right</t>
  </si>
  <si>
    <t xml:space="preserve">Ctrl + D  /  Ctrl + R</t>
  </si>
  <si>
    <t xml:space="preserve">Replicate a formula across years in 1 beat</t>
  </si>
  <si>
    <t xml:space="preserve">Ctrl + D / Ctrl + R</t>
  </si>
  <si>
    <t xml:space="preserve">Write FY26, Ctrl+R across FY27–30</t>
  </si>
  <si>
    <t xml:space="preserve">AutoSum</t>
  </si>
  <si>
    <t xml:space="preserve">Alt + =</t>
  </si>
  <si>
    <t xml:space="preserve">Totals without touching the ribbon</t>
  </si>
  <si>
    <t xml:space="preserve">Cmd + Shift + T</t>
  </si>
  <si>
    <t xml:space="preserve">Total an opex block</t>
  </si>
  <si>
    <t xml:space="preserve">Paste Special</t>
  </si>
  <si>
    <t xml:space="preserve">Ctrl + Alt + V   (or Alt E S)</t>
  </si>
  <si>
    <t xml:space="preserve">Values, formulas, formats, add, subtract, skip blanks</t>
  </si>
  <si>
    <t xml:space="preserve">Ctrl + Cmd + V</t>
  </si>
  <si>
    <t xml:space="preserve">Paste Values over a live link</t>
  </si>
  <si>
    <t xml:space="preserve">Paste Values only</t>
  </si>
  <si>
    <t xml:space="preserve">Alt E S V  Enter</t>
  </si>
  <si>
    <t xml:space="preserve">Kill a formula, keep the number</t>
  </si>
  <si>
    <t xml:space="preserve">Ctrl + Cmd + V then V</t>
  </si>
  <si>
    <t xml:space="preserve">Snapshot a case</t>
  </si>
  <si>
    <t xml:space="preserve">Repeat last action</t>
  </si>
  <si>
    <t xml:space="preserve">F4  (not in edit mode)</t>
  </si>
  <si>
    <t xml:space="preserve">Apply the same border 40 times</t>
  </si>
  <si>
    <t xml:space="preserve">Cmd + Y</t>
  </si>
  <si>
    <t xml:space="preserve">Border one cell, F4 down the column</t>
  </si>
  <si>
    <t xml:space="preserve">Insert comment / note</t>
  </si>
  <si>
    <t xml:space="preserve">Shift + F2</t>
  </si>
  <si>
    <t xml:space="preserve">Source the growth rate ('10-K p.44')</t>
  </si>
  <si>
    <t xml:space="preserve">Source one yellow cell</t>
  </si>
  <si>
    <t xml:space="preserve">Undo / Redo</t>
  </si>
  <si>
    <t xml:space="preserve">Ctrl + Z  /  Ctrl + Y</t>
  </si>
  <si>
    <t xml:space="preserve">You will need this. A lot.</t>
  </si>
  <si>
    <t xml:space="preserve">Cmd + Z / Cmd + Y</t>
  </si>
  <si>
    <t xml:space="preserve">Break something, undo it</t>
  </si>
  <si>
    <t xml:space="preserve">FORMAT</t>
  </si>
  <si>
    <t xml:space="preserve">Format Cells dialog</t>
  </si>
  <si>
    <t xml:space="preserve">Ctrl + 1</t>
  </si>
  <si>
    <t xml:space="preserve">Custom formats live here. Home of $#,##0;( );"-"</t>
  </si>
  <si>
    <t xml:space="preserve">Cmd + 1</t>
  </si>
  <si>
    <t xml:space="preserve">Build the IB number format</t>
  </si>
  <si>
    <t xml:space="preserve">Number w/ thousands</t>
  </si>
  <si>
    <t xml:space="preserve">Ctrl + Shift + !</t>
  </si>
  <si>
    <t xml:space="preserve">Quick comma format</t>
  </si>
  <si>
    <t xml:space="preserve">Format a raw block</t>
  </si>
  <si>
    <t xml:space="preserve">Percent</t>
  </si>
  <si>
    <t xml:space="preserve">Ctrl + Shift + %</t>
  </si>
  <si>
    <t xml:space="preserve">Growth rates, margins, tax</t>
  </si>
  <si>
    <t xml:space="preserve">Format the assumption block</t>
  </si>
  <si>
    <t xml:space="preserve">Currency</t>
  </si>
  <si>
    <t xml:space="preserve">Ctrl + Shift + $</t>
  </si>
  <si>
    <t xml:space="preserve">Then customize decimals with Alt H 9 / 0</t>
  </si>
  <si>
    <t xml:space="preserve">Apply, then drop decimals</t>
  </si>
  <si>
    <t xml:space="preserve">Blue input font</t>
  </si>
  <si>
    <t xml:space="preserve">Alt H F C  → pick blue</t>
  </si>
  <si>
    <t xml:space="preserve">Or set a QAT button for RGB 0,0,255</t>
  </si>
  <si>
    <t xml:space="preserve">★ WEEK 2</t>
  </si>
  <si>
    <t xml:space="preserve">Home → Font Color</t>
  </si>
  <si>
    <t xml:space="preserve">Color every hardcoded cell blue</t>
  </si>
  <si>
    <t xml:space="preserve">Fill color (yellow)</t>
  </si>
  <si>
    <t xml:space="preserve">Alt H H</t>
  </si>
  <si>
    <t xml:space="preserve">Mark assumption cells</t>
  </si>
  <si>
    <t xml:space="preserve">WEEK 2</t>
  </si>
  <si>
    <t xml:space="preserve">Home → Fill</t>
  </si>
  <si>
    <t xml:space="preserve">Yellow the driver block</t>
  </si>
  <si>
    <t xml:space="preserve">Borders menu</t>
  </si>
  <si>
    <t xml:space="preserve">Alt H B</t>
  </si>
  <si>
    <t xml:space="preserve">Top/bottom for totals, outline for tables</t>
  </si>
  <si>
    <t xml:space="preserve">Home → Borders</t>
  </si>
  <si>
    <t xml:space="preserve">Total line: top thin + bottom double</t>
  </si>
  <si>
    <t xml:space="preserve">Autofit column</t>
  </si>
  <si>
    <t xml:space="preserve">Alt H O I</t>
  </si>
  <si>
    <t xml:space="preserve">Stop #### from showing</t>
  </si>
  <si>
    <t xml:space="preserve">Double-click divider (or ribbon)</t>
  </si>
  <si>
    <t xml:space="preserve">Autofit labels column</t>
  </si>
  <si>
    <t xml:space="preserve">Increase / decrease decimal</t>
  </si>
  <si>
    <t xml:space="preserve">Alt H 0  /  Alt H 9</t>
  </si>
  <si>
    <t xml:space="preserve">Multiples at 0.0x, rates at 0.0%</t>
  </si>
  <si>
    <t xml:space="preserve">Home → decimal buttons</t>
  </si>
  <si>
    <t xml:space="preserve">Set EV/EBITDA to one decimal</t>
  </si>
  <si>
    <t xml:space="preserve">AUDIT</t>
  </si>
  <si>
    <t xml:space="preserve">Show all formulas</t>
  </si>
  <si>
    <t xml:space="preserve">Ctrl + `  (backtick)</t>
  </si>
  <si>
    <t xml:space="preserve">VP audit mode. Whole sheet becomes formulas.</t>
  </si>
  <si>
    <t xml:space="preserve">Ctrl + `</t>
  </si>
  <si>
    <t xml:space="preserve">Toggle formulas on 04_3Statement</t>
  </si>
  <si>
    <t xml:space="preserve">Jump to precedents</t>
  </si>
  <si>
    <t xml:space="preserve">Ctrl + [</t>
  </si>
  <si>
    <t xml:space="preserve">Land on the cells this formula uses</t>
  </si>
  <si>
    <t xml:space="preserve">From NI, jump back to EBT</t>
  </si>
  <si>
    <t xml:space="preserve">Jump to dependents</t>
  </si>
  <si>
    <t xml:space="preserve">Ctrl + ]</t>
  </si>
  <si>
    <t xml:space="preserve">Who uses this cell?</t>
  </si>
  <si>
    <t xml:space="preserve">From tax rate, find every user</t>
  </si>
  <si>
    <t xml:space="preserve">Trace precedents arrows</t>
  </si>
  <si>
    <t xml:space="preserve">Alt M P</t>
  </si>
  <si>
    <t xml:space="preserve">Visual arrows for messy formulas</t>
  </si>
  <si>
    <t xml:space="preserve">Formulas → Trace</t>
  </si>
  <si>
    <t xml:space="preserve">Trace WACC</t>
  </si>
  <si>
    <t xml:space="preserve">Go To Special → Constants</t>
  </si>
  <si>
    <t xml:space="preserve">F5 → Alt S → O → X</t>
  </si>
  <si>
    <t xml:space="preserve">Select every hardcoded number to paint blue</t>
  </si>
  <si>
    <t xml:space="preserve">F5 → Special → Constants</t>
  </si>
  <si>
    <t xml:space="preserve">Blue the whole IS historicals</t>
  </si>
  <si>
    <t xml:space="preserve">Go To Special → Formulas</t>
  </si>
  <si>
    <t xml:space="preserve">F5 → Alt S → F → X</t>
  </si>
  <si>
    <t xml:space="preserve">Select every formula to paint black</t>
  </si>
  <si>
    <t xml:space="preserve">F5 → Special → Formulas</t>
  </si>
  <si>
    <t xml:space="preserve">Black the forecast block</t>
  </si>
  <si>
    <t xml:space="preserve">Find '!' cross-sheet links</t>
  </si>
  <si>
    <t xml:space="preserve">Ctrl + F  then  !</t>
  </si>
  <si>
    <t xml:space="preserve">Then font-color them green</t>
  </si>
  <si>
    <t xml:space="preserve">Ctrl + F</t>
  </si>
  <si>
    <t xml:space="preserve">Green every Sheet! reference</t>
  </si>
  <si>
    <t xml:space="preserve">Find &amp; replace formats</t>
  </si>
  <si>
    <t xml:space="preserve">Ctrl + H → Options → Format</t>
  </si>
  <si>
    <t xml:space="preserve">Mass-paint after Go To Special</t>
  </si>
  <si>
    <t xml:space="preserve">WEEK 3</t>
  </si>
  <si>
    <t xml:space="preserve">Ctrl + H</t>
  </si>
  <si>
    <t xml:space="preserve">Replace font color across a block</t>
  </si>
  <si>
    <t xml:space="preserve">STRUCT</t>
  </si>
  <si>
    <t xml:space="preserve">Insert row / column</t>
  </si>
  <si>
    <t xml:space="preserve">Alt I R  /  Alt I C   or  Ctrl + +</t>
  </si>
  <si>
    <t xml:space="preserve">Keep structure clean, don't overwrite</t>
  </si>
  <si>
    <t xml:space="preserve">Ctrl + Shift + +</t>
  </si>
  <si>
    <t xml:space="preserve">Insert a 'memo' line under EBITDA</t>
  </si>
  <si>
    <t xml:space="preserve">Delete row / column</t>
  </si>
  <si>
    <t xml:space="preserve">Alt H D R  /  Alt H D C   or  Ctrl + -</t>
  </si>
  <si>
    <t xml:space="preserve">Remove a dead line item</t>
  </si>
  <si>
    <t xml:space="preserve">Ctrl + -</t>
  </si>
  <si>
    <t xml:space="preserve">Delete an extra spacer row</t>
  </si>
  <si>
    <t xml:space="preserve">Group rows (outline)</t>
  </si>
  <si>
    <t xml:space="preserve">Alt A G G   or  Shift + Alt + →</t>
  </si>
  <si>
    <t xml:space="preserve">Collapse monthly detail under annual</t>
  </si>
  <si>
    <t xml:space="preserve">Data → Group</t>
  </si>
  <si>
    <t xml:space="preserve">Group monthly stub under FY</t>
  </si>
  <si>
    <t xml:space="preserve">Hide / unhide rows</t>
  </si>
  <si>
    <t xml:space="preserve">Ctrl + 9  /  Ctrl + Shift + 9</t>
  </si>
  <si>
    <t xml:space="preserve">Park supporting calcs</t>
  </si>
  <si>
    <t xml:space="preserve">Ctrl + 9</t>
  </si>
  <si>
    <t xml:space="preserve">Hide the working-capital rollforward</t>
  </si>
  <si>
    <t xml:space="preserve">Name a range</t>
  </si>
  <si>
    <t xml:space="preserve">Ctrl + F3  or  Name Box</t>
  </si>
  <si>
    <t xml:space="preserve">TaxRate instead of Assumptions!C12</t>
  </si>
  <si>
    <t xml:space="preserve">Ctrl + F3</t>
  </si>
  <si>
    <t xml:space="preserve">Name the yellow tax-rate cell</t>
  </si>
  <si>
    <t xml:space="preserve">Create names from labels</t>
  </si>
  <si>
    <t xml:space="preserve">Ctrl + Shift + F3</t>
  </si>
  <si>
    <t xml:space="preserve">Turn a driver block into named cells in one shot</t>
  </si>
  <si>
    <t xml:space="preserve">Name the whole assumption column</t>
  </si>
  <si>
    <t xml:space="preserve">CALC</t>
  </si>
  <si>
    <t xml:space="preserve">Calculate now (all)</t>
  </si>
  <si>
    <t xml:space="preserve">F9</t>
  </si>
  <si>
    <t xml:space="preserve">Force after iterative / data-table work</t>
  </si>
  <si>
    <t xml:space="preserve">Change a driver, F9</t>
  </si>
  <si>
    <t xml:space="preserve">Calculate active sheet</t>
  </si>
  <si>
    <t xml:space="preserve">Shift + F9</t>
  </si>
  <si>
    <t xml:space="preserve">Faster on huge workbooks</t>
  </si>
  <si>
    <t xml:space="preserve">Calc only 05_Sensitivity</t>
  </si>
  <si>
    <t xml:space="preserve">Evaluate formula</t>
  </si>
  <si>
    <t xml:space="preserve">Alt M V</t>
  </si>
  <si>
    <t xml:space="preserve">Step through a nested IF</t>
  </si>
  <si>
    <t xml:space="preserve">Formulas → Evaluate</t>
  </si>
  <si>
    <t xml:space="preserve">Evaluate the cash plug</t>
  </si>
  <si>
    <t xml:space="preserve">Insert function dialog</t>
  </si>
  <si>
    <t xml:space="preserve">Shift + F3</t>
  </si>
  <si>
    <t xml:space="preserve">Browse args when you forget INDEX syntax</t>
  </si>
  <si>
    <t xml:space="preserve">Build INDEX/MATCH via dialog once</t>
  </si>
  <si>
    <t xml:space="preserve">DATA</t>
  </si>
  <si>
    <t xml:space="preserve">Start a Data Table</t>
  </si>
  <si>
    <t xml:space="preserve">Alt A W T</t>
  </si>
  <si>
    <t xml:space="preserve">Two-way sensitivity. Set calc to 'Automatic except data tables'.</t>
  </si>
  <si>
    <t xml:space="preserve">Data → What-If</t>
  </si>
  <si>
    <t xml:space="preserve">Rebuild the WACC × g table by hand</t>
  </si>
  <si>
    <t xml:space="preserve">Goal Seek</t>
  </si>
  <si>
    <t xml:space="preserve">Alt A W G</t>
  </si>
  <si>
    <t xml:space="preserve">What growth gets you to $50mm NI?</t>
  </si>
  <si>
    <t xml:space="preserve">Data → What-If → Goal Seek</t>
  </si>
  <si>
    <t xml:space="preserve">Goal-seek FY28 NI to 50</t>
  </si>
  <si>
    <t xml:space="preserve">PRINT</t>
  </si>
  <si>
    <t xml:space="preserve">Page setup / print preview</t>
  </si>
  <si>
    <t xml:space="preserve">Ctrl + P  then  Alt P S</t>
  </si>
  <si>
    <t xml:space="preserve">Fit-to-width 1, landscape, print titles</t>
  </si>
  <si>
    <t xml:space="preserve">Cmd + P</t>
  </si>
  <si>
    <t xml:space="preserve">Make 04_3Statement print on 1 page wide</t>
  </si>
  <si>
    <t xml:space="preserve">Set print area</t>
  </si>
  <si>
    <t xml:space="preserve">Alt P R S</t>
  </si>
  <si>
    <t xml:space="preserve">Don't send the scratch columns to the MD</t>
  </si>
  <si>
    <t xml:space="preserve">Page Layout → Print Area</t>
  </si>
  <si>
    <t xml:space="preserve">Print area = output only</t>
  </si>
  <si>
    <t xml:space="preserve">QUICK ACCESS TOOLBAR — THE SECRET WEAPON</t>
  </si>
  <si>
    <t xml:space="preserve">File → Options → Quick Access Toolbar. Add: Paste Values, Paste Formats, Border menu, Font Color, Fill Color, Increase/Decrease Decimal, Merge &amp; Center (so you can avoid it), and Name Manager. They become Alt + 1, Alt + 2, Alt + 3… Bankers customize this on day one of a new machine. Also: File → Options → Formulas → Enable iterative calculation (max 100, change 0.001) for interest circs; set workbook calc to Automatic except data tables so huge sens tables don't freeze Excel on every keystroke.</t>
  </si>
  <si>
    <t xml:space="preserve">02  ·  FORMAT GYM</t>
  </si>
  <si>
    <t xml:space="preserve">This tab is intentionally ugly. Your job: make the LEFT block look like the RIGHT 'after' block using only shortcuts.</t>
  </si>
  <si>
    <t xml:space="preserve">BEFORE  —  messy extract (fix this side)</t>
  </si>
  <si>
    <t xml:space="preserve">AFTER  —  bank standard (target look)</t>
  </si>
  <si>
    <t xml:space="preserve">apex industrial  income statement</t>
  </si>
  <si>
    <t xml:space="preserve">notes</t>
  </si>
  <si>
    <t xml:space="preserve">Income Statement ($mm)</t>
  </si>
  <si>
    <t xml:space="preserve">2023</t>
  </si>
  <si>
    <t xml:space="preserve">2024</t>
  </si>
  <si>
    <t xml:space="preserve">2025</t>
  </si>
  <si>
    <t xml:space="preserve">rev</t>
  </si>
  <si>
    <t xml:space="preserve">Revenue</t>
  </si>
  <si>
    <t xml:space="preserve">cogs</t>
  </si>
  <si>
    <t xml:space="preserve">  COGS</t>
  </si>
  <si>
    <t xml:space="preserve">gp</t>
  </si>
  <si>
    <t xml:space="preserve">Gross Profit</t>
  </si>
  <si>
    <t xml:space="preserve">opex</t>
  </si>
  <si>
    <t xml:space="preserve">  Operating expenses</t>
  </si>
  <si>
    <t xml:space="preserve">ebitda</t>
  </si>
  <si>
    <t xml:space="preserve">EBITDA</t>
  </si>
  <si>
    <t xml:space="preserve">da</t>
  </si>
  <si>
    <t xml:space="preserve">  D&amp;A</t>
  </si>
  <si>
    <t xml:space="preserve">ebit</t>
  </si>
  <si>
    <t xml:space="preserve">EBIT</t>
  </si>
  <si>
    <t xml:space="preserve">int</t>
  </si>
  <si>
    <t xml:space="preserve">  Interest expense</t>
  </si>
  <si>
    <t xml:space="preserve">ebt</t>
  </si>
  <si>
    <t xml:space="preserve">EBT</t>
  </si>
  <si>
    <t xml:space="preserve">tax 25%</t>
  </si>
  <si>
    <t xml:space="preserve">  Tax</t>
  </si>
  <si>
    <t xml:space="preserve">net income</t>
  </si>
  <si>
    <t xml:space="preserve">Net Income</t>
  </si>
  <si>
    <t xml:space="preserve">MISSION — do this with the keyboard, not the mouse:
1. Autofit / set column widths.  2. Arial 10 everywhere.  3. Title case line items, indent subtotals.
4. Year headers centered, formatted as text '2023' not '2,023'.  5. Convert units to $mm (divide by 1,000,000).
6. IB number format  $#,##0;($#,##0);"-"  — negatives in parens, zeros as dashes.
7. Blue font on every hardcoded number. Black font on every formula you write (GP, EBITDA, EBIT, EBT, Tax, NI).
8. Yellow fill on the tax-rate assumption (pull 25% out into its own input cell).
9. Top border + double bottom border on Net Income. Thin bottom border on GP / EBITDA / EBIT.
10. Header bar navy + white. Units in the title: 'Income Statement ($mm)'. No merged cells in the number grid.</t>
  </si>
  <si>
    <t xml:space="preserve">Tax rate (input)</t>
  </si>
  <si>
    <t xml:space="preserve">← yellow + blue = assumption</t>
  </si>
  <si>
    <t xml:space="preserve">STYLE NOTES
• Totals are bold; contra-accounts indented two spaces.
• Historicals stay blue because they were typed from the 10-K.
• Once you forecast a year, that column turns black (formulas).
• Tax is a formula: =−EBT × tax_rate. That is why it is black even in history if you choose to formula-link it.
• Some groups blue ALL history including calculated subtotals. House style varies. Be consistent inside one file.</t>
  </si>
  <si>
    <t xml:space="preserve">03  ·  FORMULA DOJO</t>
  </si>
  <si>
    <t xml:space="preserve">Type formulas in the yellow cells. Hidden answer key sits to the right of column N — unhide or scroll if you get stuck.</t>
  </si>
  <si>
    <t xml:space="preserve">SOURCE DATA  —  do not overwrite  (used by the drills below)</t>
  </si>
  <si>
    <t xml:space="preserve">Company</t>
  </si>
  <si>
    <t xml:space="preserve">Ticker</t>
  </si>
  <si>
    <t xml:space="preserve">Sector</t>
  </si>
  <si>
    <t xml:space="preserve">EV ($mm)</t>
  </si>
  <si>
    <t xml:space="preserve">EBITDA ($mm)</t>
  </si>
  <si>
    <t xml:space="preserve">FY25 Rev</t>
  </si>
  <si>
    <t xml:space="preserve">FY24 Rev</t>
  </si>
  <si>
    <t xml:space="preserve">EV/EBITDA</t>
  </si>
  <si>
    <t xml:space="preserve">Apex Industrial</t>
  </si>
  <si>
    <t xml:space="preserve">APX</t>
  </si>
  <si>
    <t xml:space="preserve">Industrials</t>
  </si>
  <si>
    <t xml:space="preserve">Northline Mfg</t>
  </si>
  <si>
    <t xml:space="preserve">NLM</t>
  </si>
  <si>
    <t xml:space="preserve">Cedar Forge</t>
  </si>
  <si>
    <t xml:space="preserve">CFR</t>
  </si>
  <si>
    <t xml:space="preserve">Materials</t>
  </si>
  <si>
    <t xml:space="preserve">Helix Components</t>
  </si>
  <si>
    <t xml:space="preserve">HLX</t>
  </si>
  <si>
    <t xml:space="preserve">Pinnacle Tools</t>
  </si>
  <si>
    <t xml:space="preserve">PNT</t>
  </si>
  <si>
    <t xml:space="preserve">Riverbend Co</t>
  </si>
  <si>
    <t xml:space="preserve">RVB</t>
  </si>
  <si>
    <t xml:space="preserve">Project cash flows ($mm)</t>
  </si>
  <si>
    <t xml:space="preserve">Year 0</t>
  </si>
  <si>
    <t xml:space="preserve">Year 1</t>
  </si>
  <si>
    <t xml:space="preserve">Year 2</t>
  </si>
  <si>
    <t xml:space="preserve">Year 3</t>
  </si>
  <si>
    <t xml:space="preserve">Year 4</t>
  </si>
  <si>
    <t xml:space="preserve">Year 5</t>
  </si>
  <si>
    <t xml:space="preserve">CF</t>
  </si>
  <si>
    <t xml:space="preserve">Discount rate</t>
  </si>
  <si>
    <t xml:space="preserve">DRILLS  —  yellow cells are yours. Don't hardcode the answer; the point is the formula.</t>
  </si>
  <si>
    <t xml:space="preserve">SKILL</t>
  </si>
  <si>
    <t xml:space="preserve">PROMPT</t>
  </si>
  <si>
    <t xml:space="preserve">YOUR ANSWER</t>
  </si>
  <si>
    <t xml:space="preserve">CHECK</t>
  </si>
  <si>
    <t xml:space="preserve">STATUS</t>
  </si>
  <si>
    <t xml:space="preserve">HINT</t>
  </si>
  <si>
    <t xml:space="preserve">ANSWER</t>
  </si>
  <si>
    <t xml:space="preserve">FORMULA</t>
  </si>
  <si>
    <t xml:space="preserve">01</t>
  </si>
  <si>
    <t xml:space="preserve">INDEX/MATCH</t>
  </si>
  <si>
    <t xml:space="preserve">EBITDA of ticker HLX</t>
  </si>
  <si>
    <t xml:space="preserve">INDEX(return_col, MATCH(lookup, lookup_col, 0))</t>
  </si>
  <si>
    <t xml:space="preserve">ANSWER KEY (formula)</t>
  </si>
  <si>
    <t xml:space="preserve">02</t>
  </si>
  <si>
    <t xml:space="preserve">Sector of Pinnacle Tools</t>
  </si>
  <si>
    <t xml:space="preserve">Exact match — last arg of MATCH is 0</t>
  </si>
  <si>
    <t xml:space="preserve">03</t>
  </si>
  <si>
    <t xml:space="preserve">XLOOKUP</t>
  </si>
  <si>
    <t xml:space="preserve">EV of Cedar Forge (XLOOKUP or INDEX/MATCH)</t>
  </si>
  <si>
    <t xml:space="preserve">XLOOKUP(lookup, lookup_col, return_col) if your Excel has it</t>
  </si>
  <si>
    <t xml:space="preserve">04</t>
  </si>
  <si>
    <t xml:space="preserve">SUMIFS</t>
  </si>
  <si>
    <t xml:space="preserve">Total EV of Industrials only</t>
  </si>
  <si>
    <t xml:space="preserve">SUMIFS(sum_range, criteria_range, criteria)</t>
  </si>
  <si>
    <t xml:space="preserve">05</t>
  </si>
  <si>
    <t xml:space="preserve">COUNTIFS</t>
  </si>
  <si>
    <t xml:space="preserve">How many Industrials comps?</t>
  </si>
  <si>
    <t xml:space="preserve">COUNTIFS(range, criteria)</t>
  </si>
  <si>
    <t xml:space="preserve">06</t>
  </si>
  <si>
    <t xml:space="preserve">AVERAGEIFS</t>
  </si>
  <si>
    <t xml:space="preserve">Average EBITDA of Industrials</t>
  </si>
  <si>
    <t xml:space="preserve">AVERAGEIFS(avg_range, criteria_range, criteria)</t>
  </si>
  <si>
    <t xml:space="preserve">07</t>
  </si>
  <si>
    <t xml:space="preserve">Multiple</t>
  </si>
  <si>
    <t xml:space="preserve">APX EV/EBITDA</t>
  </si>
  <si>
    <t xml:space="preserve">EV ÷ EBITDA. Format as 0.0x</t>
  </si>
  <si>
    <t xml:space="preserve">08</t>
  </si>
  <si>
    <t xml:space="preserve">CAGR</t>
  </si>
  <si>
    <t xml:space="preserve">APX FY24–FY25 revenue CAGR (1 year)</t>
  </si>
  <si>
    <t xml:space="preserve">End/Start − 1 for one year; for n years (End/Start)^(1/n)−1</t>
  </si>
  <si>
    <t xml:space="preserve">09</t>
  </si>
  <si>
    <t xml:space="preserve">IF + flag</t>
  </si>
  <si>
    <t xml:space="preserve">1 if Helix EV &gt; 1500, else 0</t>
  </si>
  <si>
    <t xml:space="preserve">IF(test, 1, 0) — flags drive SUMIFS later</t>
  </si>
  <si>
    <t xml:space="preserve">10</t>
  </si>
  <si>
    <t xml:space="preserve">IFERROR</t>
  </si>
  <si>
    <t xml:space="preserve">EV / 0 wrapped so it does not blow up  (use 0 as denom test)</t>
  </si>
  <si>
    <t xml:space="preserve">IFERROR(value, value_if_error). Never ship DIV-by-zero</t>
  </si>
  <si>
    <t xml:space="preserve">11</t>
  </si>
  <si>
    <t xml:space="preserve">MAX / MIN</t>
  </si>
  <si>
    <t xml:space="preserve">Highest EV in the set</t>
  </si>
  <si>
    <t xml:space="preserve">MAX of the EV column</t>
  </si>
  <si>
    <t xml:space="preserve">12</t>
  </si>
  <si>
    <t xml:space="preserve">LARGE</t>
  </si>
  <si>
    <t xml:space="preserve">2nd-largest EBITDA</t>
  </si>
  <si>
    <t xml:space="preserve">LARGE(range, k)</t>
  </si>
  <si>
    <t xml:space="preserve">13</t>
  </si>
  <si>
    <t xml:space="preserve">MEDIAN</t>
  </si>
  <si>
    <t xml:space="preserve">Median EV/EBITDA of the whole set</t>
  </si>
  <si>
    <t xml:space="preserve">MEDIAN of EV/EBITDA. Array-safe in modern Excel; otherwise helper col.</t>
  </si>
  <si>
    <t xml:space="preserve">14</t>
  </si>
  <si>
    <t xml:space="preserve">NPV</t>
  </si>
  <si>
    <t xml:space="preserve">NPV of the project CFs at the discount rate in C15</t>
  </si>
  <si>
    <t xml:space="preserve">Excel NPV assumes first value is t=1. Add CF0 separately.</t>
  </si>
  <si>
    <t xml:space="preserve">15</t>
  </si>
  <si>
    <t xml:space="preserve">IRR</t>
  </si>
  <si>
    <t xml:space="preserve">IRR of the project CFs (C14:H14)</t>
  </si>
  <si>
    <t xml:space="preserve">IRR(range). Needs a sign change in the series.</t>
  </si>
  <si>
    <t xml:space="preserve">16</t>
  </si>
  <si>
    <t xml:space="preserve">XIRR-ready</t>
  </si>
  <si>
    <t xml:space="preserve">Same IRR via RATE approximation check: does IRR &gt; 10%? 1/0</t>
  </si>
  <si>
    <t xml:space="preserve">Flag whether project clears the hurdle</t>
  </si>
  <si>
    <t xml:space="preserve">17</t>
  </si>
  <si>
    <t xml:space="preserve">SUMPRODUCT</t>
  </si>
  <si>
    <t xml:space="preserve">EV-weighted average EBITDA margin  (EBITDA/Rev * EV) / Σ EV</t>
  </si>
  <si>
    <t xml:space="preserve">SUMPRODUCT is the IB workhorse when SUMIFS is not enough</t>
  </si>
  <si>
    <t xml:space="preserve">18</t>
  </si>
  <si>
    <t xml:space="preserve">TEXT / label</t>
  </si>
  <si>
    <t xml:space="preserve">Build 'APX trades at X.Xx EBITDA'</t>
  </si>
  <si>
    <t xml:space="preserve">TEXT(number, "0.0") to control the multiple</t>
  </si>
  <si>
    <t xml:space="preserve">19</t>
  </si>
  <si>
    <t xml:space="preserve">ABS + check</t>
  </si>
  <si>
    <t xml:space="preserve">Abs difference between NLM EV and APX EV</t>
  </si>
  <si>
    <t xml:space="preserve">ABS for check cells so −0.0 and +0.0 both pass</t>
  </si>
  <si>
    <t xml:space="preserve">20</t>
  </si>
  <si>
    <t xml:space="preserve">CHALLENGE</t>
  </si>
  <si>
    <t xml:space="preserve">P/E of Riverbend: EV is not equity. Use NI. Assume net debt = 180. P/E = (EV−net debt)/NI</t>
  </si>
  <si>
    <t xml:space="preserve">Equity value = EV − net debt. P/E = equity / NI</t>
  </si>
  <si>
    <t xml:space="preserve">HOW BANKERS ACTUALLY LOOK THINGS UP: INDEX/MATCH (or XLOOKUP) beats VLOOKUP because you can return a column to the LEFT of the lookup column and you don't break the formula when someone inserts a column. Always MATCH(...,0) for exact. Anchor both ranges with F4 before you copy the formula down. For comps, put tickers in a helper column and never type a name twice.</t>
  </si>
  <si>
    <t xml:space="preserve">04  ·  APEX INDUSTRIAL  —  MINI 3-STATEMENT MODEL ($mm)</t>
  </si>
  <si>
    <t xml:space="preserve">Yellow + blue = toggle me. Historicals are blue hardcodes. Forecasts are black formulas. Green = cross-sheet.</t>
  </si>
  <si>
    <t xml:space="preserve">MODEL STATUS</t>
  </si>
  <si>
    <t xml:space="preserve">← live link to Checks tab (green font once you look at the formula)</t>
  </si>
  <si>
    <t xml:space="preserve">Line item</t>
  </si>
  <si>
    <t xml:space="preserve">Driver / note</t>
  </si>
  <si>
    <t xml:space="preserve">2023A</t>
  </si>
  <si>
    <t xml:space="preserve">2024A</t>
  </si>
  <si>
    <t xml:space="preserve">2025A</t>
  </si>
  <si>
    <t xml:space="preserve">2026E</t>
  </si>
  <si>
    <t xml:space="preserve">2027E</t>
  </si>
  <si>
    <t xml:space="preserve">2028E</t>
  </si>
  <si>
    <t xml:space="preserve">Commentary</t>
  </si>
  <si>
    <t xml:space="preserve">ASSUMPTIONS  (the only place you type forecasts)</t>
  </si>
  <si>
    <t xml:space="preserve">Revenue growth</t>
  </si>
  <si>
    <t xml:space="preserve">YoY</t>
  </si>
  <si>
    <t xml:space="preserve">—</t>
  </si>
  <si>
    <t xml:space="preserve">Source: management CIM base case, 8/2026. Street is 7.5% long-run.</t>
  </si>
  <si>
    <t xml:space="preserve">COGS % sales</t>
  </si>
  <si>
    <t xml:space="preserve">incl. freight</t>
  </si>
  <si>
    <t xml:space="preserve">Gross margin expansion from mix shift to aftermarket.</t>
  </si>
  <si>
    <t xml:space="preserve">OpEx % sales</t>
  </si>
  <si>
    <t xml:space="preserve">SG&amp;A + R&amp;D</t>
  </si>
  <si>
    <t xml:space="preserve">Operating leverage. Do not cut below 16% without a cost-out program.</t>
  </si>
  <si>
    <t xml:space="preserve">D&amp;A % sales</t>
  </si>
  <si>
    <t xml:space="preserve">book</t>
  </si>
  <si>
    <t xml:space="preserve">Holds near historical ~4% of sales.</t>
  </si>
  <si>
    <t xml:space="preserve">Tax rate</t>
  </si>
  <si>
    <t xml:space="preserve">Source: FY25 10-K rate recon, ~statutory 25%.</t>
  </si>
  <si>
    <t xml:space="preserve">NWC % sales</t>
  </si>
  <si>
    <t xml:space="preserve">ex-cash</t>
  </si>
  <si>
    <t xml:space="preserve">AR+Inv−AP. Held at 12% in the forecast.</t>
  </si>
  <si>
    <t xml:space="preserve">Capex % sales</t>
  </si>
  <si>
    <t xml:space="preserve">cash</t>
  </si>
  <si>
    <t xml:space="preserve">Slightly above D&amp;A to fund the capacity add.</t>
  </si>
  <si>
    <t xml:space="preserve">Interest rate</t>
  </si>
  <si>
    <t xml:space="preserve">on beg. debt</t>
  </si>
  <si>
    <t xml:space="preserve">Blended coupon. Circularity: interest depends on debt, debt on cash. See Checks.</t>
  </si>
  <si>
    <t xml:space="preserve">Debt paydown</t>
  </si>
  <si>
    <t xml:space="preserve">$mm</t>
  </si>
  <si>
    <t xml:space="preserve">Amortization schedule per credit agreement.</t>
  </si>
  <si>
    <t xml:space="preserve">Dividend payout</t>
  </si>
  <si>
    <t xml:space="preserve">% of NI</t>
  </si>
  <si>
    <t xml:space="preserve">Board policy. Residual cash builds on BS.</t>
  </si>
  <si>
    <t xml:space="preserve">INCOME STATEMENT</t>
  </si>
  <si>
    <t xml:space="preserve">Change growth in G7:I7 and watch the whole forecast rewrite. That is the point.</t>
  </si>
  <si>
    <t xml:space="preserve">NI is the bridge from IS → CFS → Equity.</t>
  </si>
  <si>
    <t xml:space="preserve">Memo: EBITDA margin</t>
  </si>
  <si>
    <t xml:space="preserve">Memo: NI margin</t>
  </si>
  <si>
    <t xml:space="preserve">Memo: YoY revenue growth</t>
  </si>
  <si>
    <t xml:space="preserve">n.a.</t>
  </si>
  <si>
    <t xml:space="preserve">CASH FLOW STATEMENT</t>
  </si>
  <si>
    <t xml:space="preserve">  (+) D&amp;A</t>
  </si>
  <si>
    <t xml:space="preserve">  (−) Increase in NWC</t>
  </si>
  <si>
    <t xml:space="preserve">  (−) Capex</t>
  </si>
  <si>
    <t xml:space="preserve">Free cash flow</t>
  </si>
  <si>
    <t xml:space="preserve">  (−) Debt paydown</t>
  </si>
  <si>
    <t xml:space="preserve">  (−) Dividends</t>
  </si>
  <si>
    <t xml:space="preserve">Net change in cash</t>
  </si>
  <si>
    <t xml:space="preserve">Ending cash on BS must equal beginning cash + this line.</t>
  </si>
  <si>
    <t xml:space="preserve">BALANCE SHEET</t>
  </si>
  <si>
    <t xml:space="preserve">Net working capital</t>
  </si>
  <si>
    <t xml:space="preserve">Debt</t>
  </si>
  <si>
    <t xml:space="preserve">Net PP&amp;E</t>
  </si>
  <si>
    <t xml:space="preserve">Cash</t>
  </si>
  <si>
    <t xml:space="preserve">Cash is NOT a plug here — it is computed from the CFS. If BS breaks, a flow is missing.</t>
  </si>
  <si>
    <t xml:space="preserve">Total assets</t>
  </si>
  <si>
    <t xml:space="preserve">Equity (RE rollforward)</t>
  </si>
  <si>
    <t xml:space="preserve">Total liabilities &amp; equity</t>
  </si>
  <si>
    <t xml:space="preserve">Balance check (A − L−E)</t>
  </si>
  <si>
    <t xml:space="preserve">Must be 0.000 in every year. If it is not, do not pass the file on.</t>
  </si>
  <si>
    <t xml:space="preserve">Cash roll check vs CFS</t>
  </si>
  <si>
    <t xml:space="preserve">05  ·  SENSITIVITY &amp; CASES</t>
  </si>
  <si>
    <t xml:space="preserve">Bankers do not present one number. They present a grid. Yellow cells drive everything.</t>
  </si>
  <si>
    <t xml:space="preserve">SIMPLE DCF ON APEX  —  FY28 EBITDA exit</t>
  </si>
  <si>
    <t xml:space="preserve">FY28 EBITDA</t>
  </si>
  <si>
    <t xml:space="preserve">← green: live link to the 3-statement</t>
  </si>
  <si>
    <t xml:space="preserve">Exit EV/EBITDA</t>
  </si>
  <si>
    <t xml:space="preserve">FY28 net debt</t>
  </si>
  <si>
    <t xml:space="preserve">Exit enterprise value</t>
  </si>
  <si>
    <t xml:space="preserve">Exit equity value</t>
  </si>
  <si>
    <t xml:space="preserve">Mid-year discount years</t>
  </si>
  <si>
    <t xml:space="preserve">WACC (base)</t>
  </si>
  <si>
    <t xml:space="preserve">PV of exit equity</t>
  </si>
  <si>
    <t xml:space="preserve">Shares (mm)</t>
  </si>
  <si>
    <t xml:space="preserve">Implied value / share</t>
  </si>
  <si>
    <t xml:space="preserve">TWO-WAY SENSITIVITY  —  implied value / share  (rebuild this with Data Table once you know Alt A W T)</t>
  </si>
  <si>
    <t xml:space="preserve">HOW TO TURN THIS INTO A REAL DATA TABLE: put =C14 in the corner (B17). Clear C18:I24. Select B17:I24. Alt → A → W → T. Row input = C6 (the multiple). Column input = C11 (the WACC). Excel writes {=TABLE(C6,C11)} as an array. Set calc to Automatic except data tables or F9 will crawl. The formulas above already compute the same grid so you can see the math either way.</t>
  </si>
  <si>
    <t xml:space="preserve">OPERATING CASE TOGGLE  —  feed this back into 04 if you want to get fancy</t>
  </si>
  <si>
    <t xml:space="preserve">Active case</t>
  </si>
  <si>
    <t xml:space="preserve">Base</t>
  </si>
  <si>
    <t xml:space="preserve">Case #</t>
  </si>
  <si>
    <t xml:space="preserve">Driver</t>
  </si>
  <si>
    <t xml:space="preserve">Downside</t>
  </si>
  <si>
    <t xml:space="preserve">Upside</t>
  </si>
  <si>
    <t xml:space="preserve">Active (CHOOSE)</t>
  </si>
  <si>
    <t xml:space="preserve">FY26 rev growth</t>
  </si>
  <si>
    <t xml:space="preserve">FY26 COGS %</t>
  </si>
  <si>
    <t xml:space="preserve">Exit multiple</t>
  </si>
  <si>
    <t xml:space="preserve">WACC</t>
  </si>
  <si>
    <t xml:space="preserve">CHOOSE + a dropdown is how many 'case' models work before anyone writes VBA.</t>
  </si>
  <si>
    <t xml:space="preserve">Active value / share (uses case WACC + case multiple, same EBITDA)</t>
  </si>
  <si>
    <t xml:space="preserve">06  ·  TRADING COMPS DRILL</t>
  </si>
  <si>
    <t xml:space="preserve">Build EV and multiples from the yellow inputs. Stats at the bottom feed a football field.</t>
  </si>
  <si>
    <t xml:space="preserve">Price</t>
  </si>
  <si>
    <t xml:space="preserve">Equity val</t>
  </si>
  <si>
    <t xml:space="preserve">Net debt</t>
  </si>
  <si>
    <t xml:space="preserve">EV</t>
  </si>
  <si>
    <t xml:space="preserve">NI</t>
  </si>
  <si>
    <t xml:space="preserve">P/E</t>
  </si>
  <si>
    <t xml:space="preserve">Apex row is shaded — it is the target. Peers only go into the stats below.</t>
  </si>
  <si>
    <t xml:space="preserve">PEER STATS  (excludes Apex — INDEX/SMALL or just explicit ranges C6:C10 wait rows 6-10 are peers)</t>
  </si>
  <si>
    <t xml:space="preserve">Statistic</t>
  </si>
  <si>
    <t xml:space="preserve">High</t>
  </si>
  <si>
    <t xml:space="preserve">75th pctile</t>
  </si>
  <si>
    <t xml:space="preserve">Median</t>
  </si>
  <si>
    <t xml:space="preserve">Mean</t>
  </si>
  <si>
    <t xml:space="preserve">25th pctile</t>
  </si>
  <si>
    <t xml:space="preserve">Low</t>
  </si>
  <si>
    <t xml:space="preserve">Apex (target)</t>
  </si>
  <si>
    <t xml:space="preserve">Implied Apex equity value at peer median EV/EBITDA</t>
  </si>
  <si>
    <t xml:space="preserve">Implied Apex price at peer median EV/EBITDA</t>
  </si>
  <si>
    <t xml:space="preserve">Implied Apex price at peer median P/E</t>
  </si>
  <si>
    <t xml:space="preserve">FOOTBALL-FIELD LOGIC: a deck slide is just these ranges drawn as bars — DCF (from tab 05), 52-week high/low, peer EV/EBITDA (low–high and 25–75), peer P/E, precedent transactions. The work is not the drawing. The work is that every bar traces back to a cell a VP can audit. Change Helix's price in D8 and watch the median and implied Apex price move. That is a live comps file.</t>
  </si>
  <si>
    <t xml:space="preserve">07  ·  ERROR CHECK DASHBOARD</t>
  </si>
  <si>
    <t xml:space="preserve">If this page is red, the file does not leave your desk. Green font = pulled from other tabs.</t>
  </si>
  <si>
    <t xml:space="preserve">Check</t>
  </si>
  <si>
    <t xml:space="preserve">BS balances (Assets − L&amp;E)</t>
  </si>
  <si>
    <t xml:space="preserve">MAX abs BS break (feeds the status flag)</t>
  </si>
  <si>
    <t xml:space="preserve">Cash roll (BS cash − beg cash − Δ cash)</t>
  </si>
  <si>
    <t xml:space="preserve">Debt roll (end − beg + paydown should be 0)</t>
  </si>
  <si>
    <t xml:space="preserve">NI identity (EBT + Tax − NI should be 0)</t>
  </si>
  <si>
    <t xml:space="preserve">Cash negative? (1 = warning)</t>
  </si>
  <si>
    <t xml:space="preserve">Interest coverage (EBIT / |Int|)  —  flag if &lt; 2.0x</t>
  </si>
  <si>
    <t xml:space="preserve">HOW TO USE CHECKS LIKE AN ANALYST</t>
  </si>
  <si>
    <t xml:space="preserve">Put this tab first when you send a file internally. VPs scroll here before they scroll the IS.</t>
  </si>
  <si>
    <t xml:space="preserve">A check cell is a formula that equals ZERO when the world is right. Color it with conditional formatting, never by hand.</t>
  </si>
  <si>
    <t xml:space="preserve">ABS() so −0.0003 and +0.0003 both pass. Use a tolerance (here 0.05) because floats are messy.</t>
  </si>
  <si>
    <t xml:space="preserve">If cash goes negative, you needed a revolver plug. Real models have a min-cash + draw / paydown revolver.</t>
  </si>
  <si>
    <t xml:space="preserve">Coverage, leverage, and liquidity flags belong here too — not buried in a footnote of the credit memo.</t>
  </si>
  <si>
    <t xml:space="preserve">Never delete a check because it is red. Fix the model.</t>
  </si>
  <si>
    <t xml:space="preserve">Aggregate break</t>
  </si>
  <si>
    <t xml:space="preserve">08  ·  14-DAY PLAN + EXTRA TIPS</t>
  </si>
  <si>
    <t xml:space="preserve">25–40 minutes a day. Track it. Bankers get good at this the same way pianists do — scales, then pieces.</t>
  </si>
  <si>
    <t xml:space="preserve">DAY</t>
  </si>
  <si>
    <t xml:space="preserve">FOCUS</t>
  </si>
  <si>
    <t xml:space="preserve">SESSION</t>
  </si>
  <si>
    <t xml:space="preserve">MINUTES</t>
  </si>
  <si>
    <t xml:space="preserve">DONE? (Y)</t>
  </si>
  <si>
    <t xml:space="preserve">NOTES</t>
  </si>
  <si>
    <t xml:space="preserve">Navigation</t>
  </si>
  <si>
    <t xml:space="preserve">Ctrl+Arrow, Ctrl+Shift+Arrow, F5, Ctrl+PgUp/Dn only. Cross every tab without a mouse.</t>
  </si>
  <si>
    <t xml:space="preserve">Edit muscle</t>
  </si>
  <si>
    <t xml:space="preserve">F2, F4 anchors, Ctrl+D, Ctrl+R, Alt+=, Ctrl+Z. Rewrite one formula and copy it across years.</t>
  </si>
  <si>
    <t xml:space="preserve">01 + 04</t>
  </si>
  <si>
    <t xml:space="preserve">Values, formats, formulas, add/subtract, skip blanks, transpose (Alt E S E). Snapshot a case.</t>
  </si>
  <si>
    <t xml:space="preserve">Format gym</t>
  </si>
  <si>
    <t xml:space="preserve">Fix tab 02 until it matches the AFTER block. Ctrl+1 custom format. Blue the constants (F5 Special).</t>
  </si>
  <si>
    <t xml:space="preserve">Lookups</t>
  </si>
  <si>
    <t xml:space="preserve">Drills 01–07 on tab 03. INDEX/MATCH until you stop thinking about VLOOKUP.</t>
  </si>
  <si>
    <t xml:space="preserve">Aggregation</t>
  </si>
  <si>
    <t xml:space="preserve">Drills 08–13. SUMIFS, AVERAGEIFS, LARGE, MEDIAN of a multiple.</t>
  </si>
  <si>
    <t xml:space="preserve">Value math</t>
  </si>
  <si>
    <t xml:space="preserve">Drills 14–20. NPV vs Excel-NPV trap, IRR, SUMPRODUCT, TEXT labels.</t>
  </si>
  <si>
    <t xml:space="preserve">3-statement</t>
  </si>
  <si>
    <t xml:space="preserve">Read every formula on tab 04 with F2 and Ctrl+[. Change FY26 growth from 8% to 3%. Explain what moved.</t>
  </si>
  <si>
    <t xml:space="preserve">9</t>
  </si>
  <si>
    <t xml:space="preserve">Break it</t>
  </si>
  <si>
    <t xml:space="preserve">Set tax rate to 0, capex % to 25%, payout to 150%. Watch checks go red. Then put it back.</t>
  </si>
  <si>
    <t xml:space="preserve">04 + 07</t>
  </si>
  <si>
    <t xml:space="preserve">Sensitivity</t>
  </si>
  <si>
    <t xml:space="preserve">Rebuild the WACC × multiple grid with a real Data Table (Alt A W T). Toggle the case dropdown.</t>
  </si>
  <si>
    <t xml:space="preserve">Comps</t>
  </si>
  <si>
    <t xml:space="preserve">Change three prices. Recalc implied Apex price. Write one sentence on why median ≠ mean here.</t>
  </si>
  <si>
    <t xml:space="preserve">Audit</t>
  </si>
  <si>
    <t xml:space="preserve">Ctrl+` formula view on tab 04. Ctrl+[ from NI to EBT to Revenue. Trace the cash line to the CFS.</t>
  </si>
  <si>
    <t xml:space="preserve">Print / polish</t>
  </si>
  <si>
    <t xml:space="preserve">Landscape, fit-to-width 1, print titles, header/footer, hide column N on the Dojo, freeze panes.</t>
  </si>
  <si>
    <t xml:space="preserve">all</t>
  </si>
  <si>
    <t xml:space="preserve">Timed build</t>
  </si>
  <si>
    <t xml:space="preserve">Blank workbook. 45 minutes. Rebuild Apex IS + 4-year forecast from memory. Then compare to tab 04.</t>
  </si>
  <si>
    <t xml:space="preserve">blank file</t>
  </si>
  <si>
    <t xml:space="preserve">Total minutes</t>
  </si>
  <si>
    <t xml:space="preserve">TIPS THAT ARE NOT SHORTCUTS (THESE MATTER MORE)</t>
  </si>
  <si>
    <t xml:space="preserve">Speed is a side effect of structure. A clean model with 40 shortcuts beats a messy model with 200.</t>
  </si>
  <si>
    <t xml:space="preserve">Read the 10-K footnote before you type the number. The formula is the easy part; the accounting is the job.</t>
  </si>
  <si>
    <t xml:space="preserve">Say the units out loud. '$mm, year ended Dec-31, diluted shares.' Most model errors are unit errors.</t>
  </si>
  <si>
    <t xml:space="preserve">If a VP asks 'what do I toggle?', the answer must be one yellow block, not seventeen hidden tabs.</t>
  </si>
  <si>
    <t xml:space="preserve">Build the check before you build the forecast. If you add the alarm after the fire, you will ship the fire.</t>
  </si>
  <si>
    <t xml:space="preserve">Circular interest (interest depends on average debt, debt depends on cash, cash depends on interest) is normal. Turn on iteration. Keep a toggle to break the circ when debugging.</t>
  </si>
  <si>
    <t xml:space="preserve">Don't merge cells in a grid you will ever copy from. Merged cells break Ctrl+Arrow and paste.</t>
  </si>
  <si>
    <t xml:space="preserve">Name the file like a person who will hate you in six weeks: ProjectApex_3stmt_v7_pre-IC_2026-08-29.xlsx.</t>
  </si>
  <si>
    <t xml:space="preserve">Print to PDF before you send. You will catch the column that still says 0.0000000001.</t>
  </si>
  <si>
    <t xml:space="preserve">The best next course after this file: rebuild a real public company from its 10-K (IS + BS + CFS) over a weekend. Then layer a DCF.</t>
  </si>
  <si>
    <t xml:space="preserve">WHEN YOU ARE READY FOR THE REAL THING</t>
  </si>
  <si>
    <t xml:space="preserve">Courses people actually use on the street: Wall Street Prep, Breaking Into Wall Street, Training The Street. They are expensive because they force reps, not because the functions are secret. Free complement: a public 10-K (start with a simple industrials name — you already have Apex as the toy version), plus the WSP / BIWS shortcut PDFs printed and taped next to the laptop. Skip fancy VBA until you can rebuild tab 04 from a blank sheet in under 20 minutes without looking. That is the line between 'I know Excel' and 'I can staff a live deal.'</t>
  </si>
</sst>
</file>

<file path=xl/styles.xml><?xml version="1.0" encoding="utf-8"?>
<styleSheet xmlns="http://schemas.openxmlformats.org/spreadsheetml/2006/main">
  <numFmts count="14">
    <numFmt numFmtId="164" formatCode="General"/>
    <numFmt numFmtId="165" formatCode="0.00"/>
    <numFmt numFmtId="166" formatCode="\$#,##0.0;&quot;($&quot;#,##0.0\);\-"/>
    <numFmt numFmtId="167" formatCode="0.0%"/>
    <numFmt numFmtId="168" formatCode="0.0\x;\(0.0&quot;x)&quot;;\-"/>
    <numFmt numFmtId="169" formatCode="\$#,##0;&quot;($&quot;#,##0\);\-"/>
    <numFmt numFmtId="170" formatCode="@"/>
    <numFmt numFmtId="171" formatCode="#,##0;\(#,##0\);\-"/>
    <numFmt numFmtId="172" formatCode="0.0\x;\(0.0&quot;x)&quot;;\-"/>
    <numFmt numFmtId="173" formatCode="0.0"/>
    <numFmt numFmtId="174" formatCode="#,##0.0;\(#,##0.0\);\-"/>
    <numFmt numFmtId="175" formatCode="\$#,##0.00;&quot;($&quot;#,##0.00\);\-"/>
    <numFmt numFmtId="176" formatCode="\$#,##0.00"/>
    <numFmt numFmtId="177" formatCode="0.000"/>
  </numFmts>
  <fonts count="2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sz val="10"/>
      <color rgb="FF000000"/>
      <name val="Arial"/>
      <family val="0"/>
      <charset val="1"/>
    </font>
    <font>
      <b val="true"/>
      <sz val="10"/>
      <color rgb="FF1F4E79"/>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i val="true"/>
      <sz val="10"/>
      <color rgb="FF333333"/>
      <name val="Arial"/>
      <family val="0"/>
      <charset val="1"/>
    </font>
    <font>
      <i val="true"/>
      <sz val="9"/>
      <color rgb="FF808080"/>
      <name val="Arial"/>
      <family val="0"/>
      <charset val="1"/>
    </font>
    <font>
      <b val="true"/>
      <sz val="9"/>
      <color rgb="FF1F4E79"/>
      <name val="Consolas"/>
      <family val="0"/>
      <charset val="1"/>
    </font>
    <font>
      <b val="true"/>
      <sz val="8"/>
      <color rgb="FF1F4E79"/>
      <name val="Arial"/>
      <family val="0"/>
      <charset val="1"/>
    </font>
    <font>
      <b val="true"/>
      <sz val="11"/>
      <color rgb="FFC00000"/>
      <name val="Arial"/>
      <family val="0"/>
      <charset val="1"/>
    </font>
    <font>
      <b val="true"/>
      <sz val="11"/>
      <color rgb="FF006600"/>
      <name val="Arial"/>
      <family val="0"/>
      <charset val="1"/>
    </font>
    <font>
      <sz val="9"/>
      <color rgb="FF333333"/>
      <name val="Comic Sans MS"/>
      <family val="0"/>
      <charset val="1"/>
    </font>
    <font>
      <b val="true"/>
      <sz val="10"/>
      <color rgb="FF000000"/>
      <name val="Arial"/>
      <family val="0"/>
      <charset val="1"/>
    </font>
    <font>
      <sz val="9"/>
      <color rgb="FF595959"/>
      <name val="Arial"/>
      <family val="0"/>
      <charset val="1"/>
    </font>
    <font>
      <b val="true"/>
      <sz val="9"/>
      <color rgb="FF1F4E79"/>
      <name val="Arial"/>
      <family val="0"/>
      <charset val="1"/>
    </font>
    <font>
      <sz val="8"/>
      <color rgb="FF808080"/>
      <name val="Arial"/>
      <family val="0"/>
      <charset val="1"/>
    </font>
    <font>
      <b val="true"/>
      <sz val="12"/>
      <color rgb="FF008000"/>
      <name val="Arial"/>
      <family val="0"/>
      <charset val="1"/>
    </font>
    <font>
      <i val="true"/>
      <sz val="9"/>
      <color rgb="FFC00000"/>
      <name val="Arial"/>
      <family val="0"/>
      <charset val="1"/>
    </font>
    <font>
      <sz val="10"/>
      <name val="Arial"/>
      <family val="2"/>
    </font>
    <font>
      <b val="true"/>
      <sz val="12"/>
      <name val="Arial"/>
      <family val="0"/>
      <charset val="1"/>
    </font>
    <font>
      <b val="true"/>
      <sz val="14"/>
      <color rgb="FF008000"/>
      <name val="Arial"/>
      <family val="0"/>
      <charset val="1"/>
    </font>
  </fonts>
  <fills count="15">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6DCE4"/>
        <bgColor rgb="FFD6E3F0"/>
      </patternFill>
    </fill>
    <fill>
      <patternFill patternType="solid">
        <fgColor rgb="FFD6E3F0"/>
        <bgColor rgb="FFD6DCE4"/>
      </patternFill>
    </fill>
    <fill>
      <patternFill patternType="solid">
        <fgColor rgb="FFF8F9FA"/>
        <bgColor rgb="FFFFFFFF"/>
      </patternFill>
    </fill>
    <fill>
      <patternFill patternType="solid">
        <fgColor rgb="FFFFFF99"/>
        <bgColor rgb="FFFFEB9C"/>
      </patternFill>
    </fill>
    <fill>
      <patternFill patternType="solid">
        <fgColor rgb="FFFFFFFF"/>
        <bgColor rgb="FFF8F9FA"/>
      </patternFill>
    </fill>
    <fill>
      <patternFill patternType="solid">
        <fgColor rgb="FFC6EFCE"/>
        <bgColor rgb="FFE2EFDA"/>
      </patternFill>
    </fill>
    <fill>
      <patternFill patternType="solid">
        <fgColor rgb="FFF4B183"/>
        <bgColor rgb="FFFFC7CE"/>
      </patternFill>
    </fill>
    <fill>
      <patternFill patternType="solid">
        <fgColor rgb="FFFFF2CC"/>
        <bgColor rgb="FFF2F2F2"/>
      </patternFill>
    </fill>
    <fill>
      <patternFill patternType="solid">
        <fgColor rgb="FFF2F2F2"/>
        <bgColor rgb="FFF8F9FA"/>
      </patternFill>
    </fill>
    <fill>
      <patternFill patternType="solid">
        <fgColor rgb="FFFFEB9C"/>
        <bgColor rgb="FFFFFF99"/>
      </patternFill>
    </fill>
    <fill>
      <patternFill patternType="solid">
        <fgColor rgb="FFE2EFDA"/>
        <bgColor rgb="FFF2F2F2"/>
      </patternFill>
    </fill>
  </fills>
  <borders count="4">
    <border diagonalUp="false" diagonalDown="false">
      <left/>
      <right/>
      <top/>
      <bottom/>
      <diagonal/>
    </border>
    <border diagonalUp="false" diagonalDown="false">
      <left/>
      <right/>
      <top/>
      <bottom style="thin"/>
      <diagonal/>
    </border>
    <border diagonalUp="false" diagonalDown="false">
      <left/>
      <right/>
      <top style="thin"/>
      <bottom style="double"/>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4" borderId="0" xfId="0" applyFont="true" applyBorder="true" applyAlignment="true" applyProtection="false">
      <alignment horizontal="left" vertical="center" textRotation="0" wrapText="false" indent="1"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1"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4" fontId="7" fillId="6"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9" fillId="7" borderId="0" xfId="0" applyFont="true" applyBorder="false" applyAlignment="tru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10" borderId="0" xfId="0" applyFont="true" applyBorder="false" applyAlignment="true" applyProtection="false">
      <alignment horizontal="center" vertical="center" textRotation="0" wrapText="true" indent="0" shrinkToFit="false"/>
      <protection locked="true" hidden="false"/>
    </xf>
    <xf numFmtId="164" fontId="6" fillId="6" borderId="0" xfId="0" applyFont="true" applyBorder="false" applyAlignment="true" applyProtection="false">
      <alignment horizontal="left" vertical="center" textRotation="0" wrapText="true" indent="0" shrinkToFit="false"/>
      <protection locked="true" hidden="false"/>
    </xf>
    <xf numFmtId="164" fontId="13" fillId="6" borderId="0" xfId="0" applyFont="true" applyBorder="false" applyAlignment="true" applyProtection="false">
      <alignment horizontal="left" vertical="center" textRotation="0" wrapText="true" indent="0" shrinkToFit="false"/>
      <protection locked="true" hidden="false"/>
    </xf>
    <xf numFmtId="164" fontId="14" fillId="11" borderId="0" xfId="0" applyFont="true" applyBorder="false" applyAlignment="true" applyProtection="false">
      <alignment horizontal="center" vertical="center" textRotation="0" wrapText="true" indent="0" shrinkToFit="false"/>
      <protection locked="true" hidden="false"/>
    </xf>
    <xf numFmtId="164" fontId="14" fillId="5" borderId="0" xfId="0" applyFont="true" applyBorder="false" applyAlignment="true" applyProtection="false">
      <alignment horizontal="center" vertical="center" textRotation="0" wrapText="true" indent="0" shrinkToFit="false"/>
      <protection locked="true" hidden="false"/>
    </xf>
    <xf numFmtId="164" fontId="14" fillId="6" borderId="0" xfId="0" applyFont="true" applyBorder="false" applyAlignment="true" applyProtection="false">
      <alignment horizontal="center" vertical="center" textRotation="0" wrapText="true" indent="0" shrinkToFit="false"/>
      <protection locked="true" hidden="false"/>
    </xf>
    <xf numFmtId="164" fontId="14" fillId="1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left"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6" fontId="18" fillId="0" borderId="2" xfId="0" applyFont="true" applyBorder="true" applyAlignment="true" applyProtection="false">
      <alignment horizontal="center" vertical="center" textRotation="0" wrapText="true" indent="0" shrinkToFit="false"/>
      <protection locked="true" hidden="false"/>
    </xf>
    <xf numFmtId="164" fontId="6" fillId="13" borderId="0" xfId="0" applyFont="true" applyBorder="true" applyAlignment="true" applyProtection="false">
      <alignment horizontal="left" vertical="top" textRotation="0" wrapText="true" indent="0" shrinkToFit="false"/>
      <protection locked="true" hidden="false"/>
    </xf>
    <xf numFmtId="167" fontId="9" fillId="7"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true" applyAlignment="true" applyProtection="false">
      <alignment horizontal="left" vertical="top" textRotation="0" wrapText="tru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6" fontId="9" fillId="6" borderId="0" xfId="0" applyFont="true" applyBorder="false" applyAlignment="true" applyProtection="false">
      <alignment horizontal="center" vertical="center" textRotation="0" wrapText="tru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9" fontId="9" fillId="7" borderId="0" xfId="0" applyFont="true" applyBorder="false" applyAlignment="true" applyProtection="false">
      <alignment horizontal="center" vertical="center" textRotation="0" wrapText="true" indent="0" shrinkToFit="false"/>
      <protection locked="true" hidden="false"/>
    </xf>
    <xf numFmtId="167" fontId="9" fillId="7"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6" fontId="9" fillId="7" borderId="3" xfId="0" applyFont="true" applyBorder="true" applyAlignment="true" applyProtection="false">
      <alignment horizontal="center" vertical="center" textRotation="0" wrapText="true" indent="0" shrinkToFit="false"/>
      <protection locked="true" hidden="false"/>
    </xf>
    <xf numFmtId="166" fontId="2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0" fontId="9" fillId="7" borderId="3" xfId="0" applyFont="true" applyBorder="true" applyAlignment="true" applyProtection="false">
      <alignment horizontal="center" vertical="center" textRotation="0" wrapText="true" indent="0" shrinkToFit="false"/>
      <protection locked="true" hidden="false"/>
    </xf>
    <xf numFmtId="170" fontId="21" fillId="0" borderId="0" xfId="0" applyFont="true" applyBorder="false" applyAlignment="true" applyProtection="false">
      <alignment horizontal="general" vertical="bottom" textRotation="0" wrapText="false" indent="0" shrinkToFit="false"/>
      <protection locked="true" hidden="false"/>
    </xf>
    <xf numFmtId="171" fontId="9" fillId="7" borderId="3" xfId="0" applyFont="true" applyBorder="true" applyAlignment="true" applyProtection="false">
      <alignment horizontal="center" vertical="center" textRotation="0" wrapText="true" indent="0" shrinkToFit="false"/>
      <protection locked="true" hidden="false"/>
    </xf>
    <xf numFmtId="171" fontId="21" fillId="0" borderId="0" xfId="0" applyFont="true" applyBorder="false" applyAlignment="true" applyProtection="false">
      <alignment horizontal="general" vertical="bottom" textRotation="0" wrapText="false" indent="0" shrinkToFit="false"/>
      <protection locked="true" hidden="false"/>
    </xf>
    <xf numFmtId="172" fontId="9" fillId="7" borderId="3" xfId="0" applyFont="true" applyBorder="true" applyAlignment="true" applyProtection="false">
      <alignment horizontal="center" vertical="center" textRotation="0" wrapText="true" indent="0" shrinkToFit="false"/>
      <protection locked="true" hidden="false"/>
    </xf>
    <xf numFmtId="172" fontId="21" fillId="0" borderId="0" xfId="0" applyFont="true" applyBorder="false" applyAlignment="true" applyProtection="false">
      <alignment horizontal="general" vertical="bottom" textRotation="0" wrapText="false" indent="0" shrinkToFit="false"/>
      <protection locked="true" hidden="false"/>
    </xf>
    <xf numFmtId="167" fontId="9" fillId="7" borderId="3" xfId="0" applyFont="true" applyBorder="true" applyAlignment="true" applyProtection="false">
      <alignment horizontal="center" vertical="center" textRotation="0" wrapText="tru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8"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6" fontId="9" fillId="7"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6" fontId="6" fillId="0" borderId="2" xfId="0" applyFont="true" applyBorder="true" applyAlignment="true" applyProtection="false">
      <alignment horizontal="center" vertical="center" textRotation="0" wrapText="true" indent="0" shrinkToFit="false"/>
      <protection locked="true" hidden="false"/>
    </xf>
    <xf numFmtId="167" fontId="6" fillId="0"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6" fontId="10" fillId="0" borderId="0" xfId="0" applyFont="true" applyBorder="false" applyAlignment="true" applyProtection="false">
      <alignment horizontal="center" vertical="center" textRotation="0" wrapText="true" indent="0" shrinkToFit="false"/>
      <protection locked="true" hidden="false"/>
    </xf>
    <xf numFmtId="172" fontId="9" fillId="7" borderId="0" xfId="0" applyFont="true" applyBorder="false" applyAlignment="true" applyProtection="false">
      <alignment horizontal="center" vertical="center" textRotation="0" wrapText="true" indent="0" shrinkToFit="false"/>
      <protection locked="true" hidden="false"/>
    </xf>
    <xf numFmtId="173" fontId="9" fillId="7" borderId="0" xfId="0" applyFont="true" applyBorder="false" applyAlignment="true" applyProtection="false">
      <alignment horizontal="center" vertical="center" textRotation="0" wrapText="true" indent="0" shrinkToFit="false"/>
      <protection locked="true" hidden="false"/>
    </xf>
    <xf numFmtId="174" fontId="9" fillId="7" borderId="0" xfId="0" applyFont="true" applyBorder="false" applyAlignment="true" applyProtection="false">
      <alignment horizontal="center" vertical="center" textRotation="0" wrapText="true" indent="0" shrinkToFit="false"/>
      <protection locked="true" hidden="false"/>
    </xf>
    <xf numFmtId="175" fontId="25" fillId="5" borderId="0" xfId="0" applyFont="true" applyBorder="false" applyAlignment="true" applyProtection="false">
      <alignment horizontal="center" vertical="center" textRotation="0" wrapText="true" indent="0" shrinkToFit="false"/>
      <protection locked="true" hidden="false"/>
    </xf>
    <xf numFmtId="176" fontId="6" fillId="5" borderId="0" xfId="0" applyFont="true" applyBorder="false" applyAlignment="true" applyProtection="false">
      <alignment horizontal="general" vertical="bottom" textRotation="0" wrapText="false" indent="0" shrinkToFit="false"/>
      <protection locked="true" hidden="false"/>
    </xf>
    <xf numFmtId="175" fontId="6" fillId="0" borderId="3" xfId="0" applyFont="true" applyBorder="true" applyAlignment="true" applyProtection="false">
      <alignment horizontal="center" vertical="center" textRotation="0" wrapText="true" indent="0" shrinkToFit="false"/>
      <protection locked="true" hidden="false"/>
    </xf>
    <xf numFmtId="164" fontId="9" fillId="7" borderId="0" xfId="0" applyFont="true" applyBorder="false" applyAlignment="true" applyProtection="false">
      <alignment horizontal="center" vertical="center" textRotation="0" wrapText="true" indent="0" shrinkToFit="false"/>
      <protection locked="true" hidden="false"/>
    </xf>
    <xf numFmtId="167" fontId="6" fillId="5" borderId="0" xfId="0" applyFont="true" applyBorder="false" applyAlignment="true" applyProtection="false">
      <alignment horizontal="center" vertical="center" textRotation="0" wrapText="true" indent="0" shrinkToFit="false"/>
      <protection locked="true" hidden="false"/>
    </xf>
    <xf numFmtId="172" fontId="6" fillId="5" borderId="0" xfId="0" applyFont="true" applyBorder="false" applyAlignment="true" applyProtection="false">
      <alignment horizontal="center" vertical="center" textRotation="0" wrapText="true" indent="0" shrinkToFit="false"/>
      <protection locked="true" hidden="false"/>
    </xf>
    <xf numFmtId="164" fontId="6" fillId="14" borderId="0" xfId="0" applyFont="true" applyBorder="false" applyAlignment="true" applyProtection="false">
      <alignment horizontal="general" vertical="bottom" textRotation="0" wrapText="false" indent="0" shrinkToFit="false"/>
      <protection locked="true" hidden="false"/>
    </xf>
    <xf numFmtId="164" fontId="6" fillId="14" borderId="0" xfId="0" applyFont="true" applyBorder="false" applyAlignment="true" applyProtection="false">
      <alignment horizontal="center" vertical="center" textRotation="0" wrapText="true" indent="0" shrinkToFit="false"/>
      <protection locked="true" hidden="false"/>
    </xf>
    <xf numFmtId="176" fontId="9" fillId="7" borderId="0" xfId="0" applyFont="true" applyBorder="false" applyAlignment="true" applyProtection="false">
      <alignment horizontal="center" vertical="center" textRotation="0" wrapText="true" indent="0" shrinkToFit="false"/>
      <protection locked="true" hidden="false"/>
    </xf>
    <xf numFmtId="166" fontId="6" fillId="14" borderId="0" xfId="0" applyFont="true" applyBorder="false" applyAlignment="true" applyProtection="false">
      <alignment horizontal="center" vertical="center" textRotation="0" wrapText="true" indent="0" shrinkToFit="false"/>
      <protection locked="true" hidden="false"/>
    </xf>
    <xf numFmtId="172" fontId="6" fillId="14" borderId="0" xfId="0" applyFont="true" applyBorder="false" applyAlignment="true" applyProtection="false">
      <alignment horizontal="center" vertical="center" textRotation="0" wrapText="true" indent="0" shrinkToFit="false"/>
      <protection locked="true" hidden="false"/>
    </xf>
    <xf numFmtId="172" fontId="6" fillId="0" borderId="0" xfId="0" applyFont="true" applyBorder="fals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8"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72" fontId="10" fillId="14" borderId="0" xfId="0" applyFont="true" applyBorder="fals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76" fontId="25" fillId="5" borderId="0" xfId="0" applyFont="true" applyBorder="false" applyAlignment="true" applyProtection="false">
      <alignment horizontal="general" vertical="bottom" textRotation="0" wrapText="false" indent="0" shrinkToFit="false"/>
      <protection locked="true" hidden="false"/>
    </xf>
    <xf numFmtId="177" fontId="10" fillId="0" borderId="0" xfId="0" applyFont="true" applyBorder="false" applyAlignment="true" applyProtection="false">
      <alignment horizontal="center" vertical="center" textRotation="0" wrapText="true" indent="0" shrinkToFit="false"/>
      <protection locked="true" hidden="false"/>
    </xf>
    <xf numFmtId="177" fontId="10" fillId="0" borderId="0" xfId="0" applyFont="true" applyBorder="true" applyAlignment="true" applyProtection="false">
      <alignment horizontal="center" vertical="center" textRotation="0" wrapText="true" indent="0" shrinkToFit="false"/>
      <protection locked="true" hidden="false"/>
    </xf>
    <xf numFmtId="171" fontId="10" fillId="0" borderId="0" xfId="0" applyFont="true" applyBorder="false" applyAlignment="true" applyProtection="false">
      <alignment horizontal="center" vertical="center" textRotation="0" wrapText="true" indent="0" shrinkToFit="false"/>
      <protection locked="true" hidden="false"/>
    </xf>
    <xf numFmtId="172" fontId="10" fillId="0" borderId="0" xfId="0" applyFont="true" applyBorder="false" applyAlignment="true" applyProtection="false">
      <alignment horizontal="center" vertical="center" textRotation="0" wrapText="tru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0" fillId="7" borderId="3" xfId="0" applyFont="false" applyBorder="true" applyAlignment="true" applyProtection="false">
      <alignment horizontal="center" vertical="center" textRotation="0" wrapText="true" indent="0" shrinkToFit="false"/>
      <protection locked="true" hidden="false"/>
    </xf>
    <xf numFmtId="164" fontId="7" fillId="6" borderId="0" xfId="0" applyFont="true" applyBorder="false" applyAlignment="true" applyProtection="false">
      <alignment horizontal="center" vertical="center" textRotation="0" wrapText="true" indent="0" shrinkToFit="false"/>
      <protection locked="true" hidden="false"/>
    </xf>
    <xf numFmtId="164" fontId="12" fillId="6"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center" vertical="center" textRotation="0" wrapText="tru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2E75B6"/>
          <bgColor rgb="FF000000"/>
        </patternFill>
      </fill>
    </dxf>
    <dxf>
      <fill>
        <patternFill patternType="solid">
          <fgColor rgb="FFD6DCE4"/>
          <bgColor rgb="FF000000"/>
        </patternFill>
      </fill>
    </dxf>
    <dxf>
      <fill>
        <patternFill patternType="solid">
          <fgColor rgb="FFF8F9FA"/>
          <bgColor rgb="FF000000"/>
        </patternFill>
      </fill>
    </dxf>
    <dxf>
      <fill>
        <patternFill patternType="solid">
          <bgColor rgb="FF000000"/>
        </patternFill>
      </fill>
    </dxf>
    <dxf>
      <fill>
        <patternFill patternType="solid">
          <fgColor rgb="FF000000"/>
          <bgColor rgb="FF000000"/>
        </patternFill>
      </fill>
    </dxf>
    <dxf>
      <fill>
        <patternFill patternType="solid">
          <fgColor rgb="FF1F4E79"/>
          <bgColor rgb="FF000000"/>
        </patternFill>
      </fill>
    </dxf>
    <dxf>
      <fill>
        <patternFill patternType="solid">
          <fgColor rgb="FFFFFFFF"/>
          <bgColor rgb="FF000000"/>
        </patternFill>
      </fill>
    </dxf>
    <dxf>
      <fill>
        <patternFill patternType="solid">
          <fgColor rgb="FFD6E3F0"/>
          <bgColor rgb="FF000000"/>
        </patternFill>
      </fill>
    </dxf>
    <dxf>
      <fill>
        <patternFill patternType="solid">
          <fgColor rgb="FFF2F2F2"/>
          <bgColor rgb="FF000000"/>
        </patternFill>
      </fill>
    </dxf>
    <dxf>
      <fill>
        <patternFill patternType="solid">
          <fgColor rgb="FFF4B183"/>
          <bgColor rgb="FF000000"/>
        </patternFill>
      </fill>
    </dxf>
    <dxf>
      <fill>
        <patternFill patternType="solid">
          <fgColor rgb="FFFFF2CC"/>
          <bgColor rgb="FF000000"/>
        </patternFill>
      </fill>
    </dxf>
    <dxf>
      <font>
        <name val="Arial"/>
        <charset val="1"/>
        <family val="0"/>
        <b val="1"/>
        <color rgb="FF006600"/>
        <sz val="9"/>
      </font>
      <fill>
        <patternFill>
          <bgColor rgb="FFC6EFCE"/>
        </patternFill>
      </fill>
    </dxf>
    <dxf>
      <font>
        <name val="Arial"/>
        <charset val="1"/>
        <family val="0"/>
        <b val="1"/>
        <color rgb="FF9C0006"/>
        <sz val="9"/>
      </font>
      <fill>
        <patternFill>
          <bgColor rgb="FFFFC7CE"/>
        </patternFill>
      </fill>
    </dxf>
    <dxf>
      <font>
        <name val="Arial"/>
        <charset val="1"/>
        <family val="0"/>
        <b val="1"/>
        <color rgb="FF006000"/>
        <sz val="12"/>
      </font>
      <fill>
        <patternFill>
          <bgColor rgb="FFC6EFCE"/>
        </patternFill>
      </fill>
    </dxf>
    <dxf>
      <font>
        <name val="Arial"/>
        <charset val="1"/>
        <family val="0"/>
        <b val="1"/>
        <color rgb="FF9C0006"/>
        <sz val="12"/>
      </font>
      <fill>
        <patternFill>
          <bgColor rgb="FFFFC7CE"/>
        </patternFill>
      </fill>
    </dxf>
    <dxf>
      <fill>
        <patternFill>
          <bgColor rgb="FFC6EFCE"/>
        </patternFill>
      </fill>
    </dxf>
    <dxf>
      <fill>
        <patternFill>
          <bgColor rgb="FFFFC7CE"/>
        </patternFill>
      </fill>
    </dxf>
    <dxf>
      <fill>
        <patternFill>
          <bgColor rgb="FFFFEB9C"/>
        </patternFill>
      </fill>
    </dxf>
    <dxf>
      <font>
        <name val="Arial"/>
        <charset val="1"/>
        <family val="0"/>
        <b val="1"/>
        <color rgb="FF006000"/>
        <sz val="14"/>
      </font>
      <fill>
        <patternFill>
          <bgColor rgb="FFC6EFCE"/>
        </patternFill>
      </fill>
    </dxf>
    <dxf>
      <font>
        <name val="Arial"/>
        <charset val="1"/>
        <family val="0"/>
        <b val="1"/>
        <color rgb="FF9C0006"/>
        <sz val="14"/>
      </font>
      <fill>
        <patternFill>
          <bgColor rgb="FFFFC7CE"/>
        </patternFill>
      </fill>
    </dxf>
  </dxfs>
  <colors>
    <indexedColors>
      <rgbColor rgb="FF000000"/>
      <rgbColor rgb="FFFFFFFF"/>
      <rgbColor rgb="FFC00000"/>
      <rgbColor rgb="FF00FF00"/>
      <rgbColor rgb="FF0000FF"/>
      <rgbColor rgb="FFFFEB9C"/>
      <rgbColor rgb="FFFF00FF"/>
      <rgbColor rgb="FF00FFFF"/>
      <rgbColor rgb="FF9C0006"/>
      <rgbColor rgb="FF008000"/>
      <rgbColor rgb="FF000080"/>
      <rgbColor rgb="FF548235"/>
      <rgbColor rgb="FF800080"/>
      <rgbColor rgb="FF006600"/>
      <rgbColor rgb="FFB0B0B0"/>
      <rgbColor rgb="FF808080"/>
      <rgbColor rgb="FF9999FF"/>
      <rgbColor rgb="FF7030A0"/>
      <rgbColor rgb="FFFFF2CC"/>
      <rgbColor rgb="FFE2EFDA"/>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D6E3F0"/>
      <rgbColor rgb="FFC6EFCE"/>
      <rgbColor rgb="FFFFFF99"/>
      <rgbColor rgb="FFF2F2F2"/>
      <rgbColor rgb="FFF4B183"/>
      <rgbColor rgb="FFF8F9FA"/>
      <rgbColor rgb="FFFFC7CE"/>
      <rgbColor rgb="FF2E75B6"/>
      <rgbColor rgb="FF33CCCC"/>
      <rgbColor rgb="FF99CC00"/>
      <rgbColor rgb="FFFFCC00"/>
      <rgbColor rgb="FFFF9900"/>
      <rgbColor rgb="FFC65911"/>
      <rgbColor rgb="FF595959"/>
      <rgbColor rgb="FF969696"/>
      <rgbColor rgb="FF003366"/>
      <rgbColor rgb="FF339966"/>
      <rgbColor rgb="FF006000"/>
      <rgbColor rgb="FF333300"/>
      <rgbColor rgb="FFC45911"/>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H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6" min="3" style="1" width="28"/>
    <col collapsed="false" customWidth="true" hidden="false" outlineLevel="0" max="7" min="7" style="1" width="22"/>
    <col collapsed="false" customWidth="true" hidden="false" outlineLevel="0" max="8" min="8" style="1" width="18"/>
  </cols>
  <sheetData>
    <row r="1" customFormat="false" ht="27.75" hidden="false" customHeight="true" outlineLevel="0" collapsed="false">
      <c r="A1" s="2" t="s">
        <v>0</v>
      </c>
      <c r="B1" s="2"/>
      <c r="C1" s="2"/>
      <c r="D1" s="2"/>
      <c r="E1" s="2"/>
      <c r="F1" s="2"/>
      <c r="G1" s="2"/>
      <c r="H1" s="2"/>
    </row>
    <row r="2" customFormat="false" ht="18" hidden="false" customHeight="true" outlineLevel="0" collapsed="false">
      <c r="A2" s="3" t="s">
        <v>1</v>
      </c>
      <c r="B2" s="3"/>
      <c r="C2" s="3"/>
      <c r="D2" s="3"/>
      <c r="E2" s="3"/>
      <c r="F2" s="3"/>
      <c r="G2" s="3"/>
      <c r="H2" s="3"/>
    </row>
    <row r="4" customFormat="false" ht="15" hidden="false" customHeight="true" outlineLevel="0" collapsed="false">
      <c r="B4" s="4" t="s">
        <v>2</v>
      </c>
      <c r="C4" s="4"/>
      <c r="D4" s="4"/>
      <c r="E4" s="4"/>
      <c r="F4" s="4"/>
      <c r="G4" s="4"/>
      <c r="H4" s="4"/>
    </row>
    <row r="6" customFormat="false" ht="18" hidden="false" customHeight="true" outlineLevel="0" collapsed="false">
      <c r="B6" s="5" t="s">
        <v>3</v>
      </c>
      <c r="C6" s="5"/>
      <c r="D6" s="5"/>
      <c r="E6" s="5"/>
      <c r="F6" s="5"/>
      <c r="G6" s="5"/>
      <c r="H6" s="5"/>
    </row>
    <row r="7" customFormat="false" ht="15" hidden="false" customHeight="true" outlineLevel="0" collapsed="false">
      <c r="B7" s="6" t="s">
        <v>4</v>
      </c>
      <c r="C7" s="6" t="s">
        <v>5</v>
      </c>
      <c r="D7" s="7" t="s">
        <v>6</v>
      </c>
      <c r="E7" s="7"/>
      <c r="F7" s="7"/>
      <c r="G7" s="7"/>
      <c r="H7" s="7"/>
    </row>
    <row r="8" customFormat="false" ht="27.75" hidden="false" customHeight="true" outlineLevel="0" collapsed="false">
      <c r="B8" s="8" t="s">
        <v>7</v>
      </c>
      <c r="C8" s="9" t="s">
        <v>8</v>
      </c>
      <c r="D8" s="10" t="s">
        <v>9</v>
      </c>
      <c r="E8" s="10"/>
      <c r="F8" s="10"/>
      <c r="G8" s="10"/>
      <c r="H8" s="10"/>
    </row>
    <row r="9" customFormat="false" ht="27.75" hidden="false" customHeight="true" outlineLevel="0" collapsed="false">
      <c r="B9" s="8" t="s">
        <v>10</v>
      </c>
      <c r="C9" s="11" t="s">
        <v>11</v>
      </c>
      <c r="D9" s="12" t="s">
        <v>12</v>
      </c>
      <c r="E9" s="12"/>
      <c r="F9" s="12"/>
      <c r="G9" s="12"/>
      <c r="H9" s="12"/>
    </row>
    <row r="10" customFormat="false" ht="27.75" hidden="false" customHeight="true" outlineLevel="0" collapsed="false">
      <c r="B10" s="8" t="s">
        <v>13</v>
      </c>
      <c r="C10" s="9" t="s">
        <v>14</v>
      </c>
      <c r="D10" s="10" t="s">
        <v>15</v>
      </c>
      <c r="E10" s="10"/>
      <c r="F10" s="10"/>
      <c r="G10" s="10"/>
      <c r="H10" s="10"/>
    </row>
    <row r="11" customFormat="false" ht="27.75" hidden="false" customHeight="true" outlineLevel="0" collapsed="false">
      <c r="B11" s="8" t="s">
        <v>16</v>
      </c>
      <c r="C11" s="11" t="s">
        <v>17</v>
      </c>
      <c r="D11" s="12" t="s">
        <v>18</v>
      </c>
      <c r="E11" s="12"/>
      <c r="F11" s="12"/>
      <c r="G11" s="12"/>
      <c r="H11" s="12"/>
    </row>
    <row r="12" customFormat="false" ht="27.75" hidden="false" customHeight="true" outlineLevel="0" collapsed="false">
      <c r="B12" s="8" t="s">
        <v>19</v>
      </c>
      <c r="C12" s="9" t="s">
        <v>20</v>
      </c>
      <c r="D12" s="10" t="s">
        <v>21</v>
      </c>
      <c r="E12" s="10"/>
      <c r="F12" s="10"/>
      <c r="G12" s="10"/>
      <c r="H12" s="10"/>
    </row>
    <row r="13" customFormat="false" ht="27.75" hidden="false" customHeight="true" outlineLevel="0" collapsed="false">
      <c r="B13" s="8" t="s">
        <v>22</v>
      </c>
      <c r="C13" s="11" t="s">
        <v>23</v>
      </c>
      <c r="D13" s="12" t="s">
        <v>24</v>
      </c>
      <c r="E13" s="12"/>
      <c r="F13" s="12"/>
      <c r="G13" s="12"/>
      <c r="H13" s="12"/>
    </row>
    <row r="14" customFormat="false" ht="27.75" hidden="false" customHeight="true" outlineLevel="0" collapsed="false">
      <c r="B14" s="8" t="s">
        <v>25</v>
      </c>
      <c r="C14" s="9" t="s">
        <v>26</v>
      </c>
      <c r="D14" s="10" t="s">
        <v>27</v>
      </c>
      <c r="E14" s="10"/>
      <c r="F14" s="10"/>
      <c r="G14" s="10"/>
      <c r="H14" s="10"/>
    </row>
    <row r="15" customFormat="false" ht="27.75" hidden="false" customHeight="true" outlineLevel="0" collapsed="false">
      <c r="B15" s="8" t="s">
        <v>28</v>
      </c>
      <c r="C15" s="11" t="s">
        <v>29</v>
      </c>
      <c r="D15" s="12" t="s">
        <v>30</v>
      </c>
      <c r="E15" s="12"/>
      <c r="F15" s="12"/>
      <c r="G15" s="12"/>
      <c r="H15" s="12"/>
    </row>
    <row r="17" customFormat="false" ht="18" hidden="false" customHeight="true" outlineLevel="0" collapsed="false">
      <c r="B17" s="5" t="s">
        <v>31</v>
      </c>
      <c r="C17" s="5"/>
      <c r="D17" s="5"/>
      <c r="E17" s="5"/>
      <c r="F17" s="5"/>
      <c r="G17" s="5"/>
      <c r="H17" s="5"/>
    </row>
    <row r="18" customFormat="false" ht="21.75" hidden="false" customHeight="true" outlineLevel="0" collapsed="false">
      <c r="B18" s="13" t="s">
        <v>32</v>
      </c>
      <c r="C18" s="12" t="s">
        <v>33</v>
      </c>
      <c r="D18" s="12"/>
      <c r="E18" s="12"/>
      <c r="F18" s="12"/>
      <c r="G18" s="12"/>
      <c r="H18" s="12"/>
    </row>
    <row r="19" customFormat="false" ht="21.75" hidden="false" customHeight="true" outlineLevel="0" collapsed="false">
      <c r="B19" s="14" t="s">
        <v>34</v>
      </c>
      <c r="C19" s="12" t="s">
        <v>35</v>
      </c>
      <c r="D19" s="12"/>
      <c r="E19" s="12"/>
      <c r="F19" s="12"/>
      <c r="G19" s="12"/>
      <c r="H19" s="12"/>
    </row>
    <row r="20" customFormat="false" ht="21.75" hidden="false" customHeight="true" outlineLevel="0" collapsed="false">
      <c r="B20" s="15" t="s">
        <v>36</v>
      </c>
      <c r="C20" s="12" t="s">
        <v>37</v>
      </c>
      <c r="D20" s="12"/>
      <c r="E20" s="12"/>
      <c r="F20" s="12"/>
      <c r="G20" s="12"/>
      <c r="H20" s="12"/>
    </row>
    <row r="21" customFormat="false" ht="21.75" hidden="false" customHeight="true" outlineLevel="0" collapsed="false">
      <c r="B21" s="13" t="s">
        <v>38</v>
      </c>
      <c r="C21" s="12" t="s">
        <v>39</v>
      </c>
      <c r="D21" s="12"/>
      <c r="E21" s="12"/>
      <c r="F21" s="12"/>
      <c r="G21" s="12"/>
      <c r="H21" s="12"/>
    </row>
    <row r="22" customFormat="false" ht="21.75" hidden="false" customHeight="true" outlineLevel="0" collapsed="false">
      <c r="B22" s="16" t="s">
        <v>40</v>
      </c>
      <c r="C22" s="12" t="s">
        <v>41</v>
      </c>
      <c r="D22" s="12"/>
      <c r="E22" s="12"/>
      <c r="F22" s="12"/>
      <c r="G22" s="12"/>
      <c r="H22" s="12"/>
    </row>
    <row r="24" customFormat="false" ht="18" hidden="false" customHeight="true" outlineLevel="0" collapsed="false">
      <c r="B24" s="5" t="s">
        <v>42</v>
      </c>
      <c r="C24" s="5"/>
      <c r="D24" s="5"/>
      <c r="E24" s="5"/>
      <c r="F24" s="5"/>
      <c r="G24" s="5"/>
      <c r="H24" s="5"/>
    </row>
    <row r="25" customFormat="false" ht="19.5" hidden="false" customHeight="true" outlineLevel="0" collapsed="false">
      <c r="B25" s="11" t="s">
        <v>43</v>
      </c>
      <c r="C25" s="12" t="s">
        <v>44</v>
      </c>
      <c r="D25" s="12"/>
      <c r="E25" s="12"/>
      <c r="F25" s="12"/>
      <c r="G25" s="12"/>
      <c r="H25" s="12"/>
    </row>
    <row r="26" customFormat="false" ht="19.5" hidden="false" customHeight="true" outlineLevel="0" collapsed="false">
      <c r="B26" s="11" t="s">
        <v>43</v>
      </c>
      <c r="C26" s="12" t="s">
        <v>45</v>
      </c>
      <c r="D26" s="12"/>
      <c r="E26" s="12"/>
      <c r="F26" s="12"/>
      <c r="G26" s="12"/>
      <c r="H26" s="12"/>
    </row>
    <row r="27" customFormat="false" ht="19.5" hidden="false" customHeight="true" outlineLevel="0" collapsed="false">
      <c r="B27" s="11" t="s">
        <v>43</v>
      </c>
      <c r="C27" s="12" t="s">
        <v>46</v>
      </c>
      <c r="D27" s="12"/>
      <c r="E27" s="12"/>
      <c r="F27" s="12"/>
      <c r="G27" s="12"/>
      <c r="H27" s="12"/>
    </row>
    <row r="28" customFormat="false" ht="19.5" hidden="false" customHeight="true" outlineLevel="0" collapsed="false">
      <c r="B28" s="11" t="s">
        <v>43</v>
      </c>
      <c r="C28" s="12" t="s">
        <v>47</v>
      </c>
      <c r="D28" s="12"/>
      <c r="E28" s="12"/>
      <c r="F28" s="12"/>
      <c r="G28" s="12"/>
      <c r="H28" s="12"/>
    </row>
    <row r="29" customFormat="false" ht="19.5" hidden="false" customHeight="true" outlineLevel="0" collapsed="false">
      <c r="B29" s="11" t="s">
        <v>43</v>
      </c>
      <c r="C29" s="12" t="s">
        <v>48</v>
      </c>
      <c r="D29" s="12"/>
      <c r="E29" s="12"/>
      <c r="F29" s="12"/>
      <c r="G29" s="12"/>
      <c r="H29" s="12"/>
    </row>
    <row r="30" customFormat="false" ht="19.5" hidden="false" customHeight="true" outlineLevel="0" collapsed="false">
      <c r="B30" s="11" t="s">
        <v>43</v>
      </c>
      <c r="C30" s="12" t="s">
        <v>49</v>
      </c>
      <c r="D30" s="12"/>
      <c r="E30" s="12"/>
      <c r="F30" s="12"/>
      <c r="G30" s="12"/>
      <c r="H30" s="12"/>
    </row>
    <row r="31" customFormat="false" ht="19.5" hidden="false" customHeight="true" outlineLevel="0" collapsed="false">
      <c r="B31" s="11" t="s">
        <v>43</v>
      </c>
      <c r="C31" s="12" t="s">
        <v>50</v>
      </c>
      <c r="D31" s="12"/>
      <c r="E31" s="12"/>
      <c r="F31" s="12"/>
      <c r="G31" s="12"/>
      <c r="H31" s="12"/>
    </row>
    <row r="32" customFormat="false" ht="19.5" hidden="false" customHeight="true" outlineLevel="0" collapsed="false">
      <c r="B32" s="11" t="s">
        <v>43</v>
      </c>
      <c r="C32" s="12" t="s">
        <v>51</v>
      </c>
      <c r="D32" s="12"/>
      <c r="E32" s="12"/>
      <c r="F32" s="12"/>
      <c r="G32" s="12"/>
      <c r="H32" s="12"/>
    </row>
    <row r="33" customFormat="false" ht="19.5" hidden="false" customHeight="true" outlineLevel="0" collapsed="false">
      <c r="B33" s="11" t="s">
        <v>43</v>
      </c>
      <c r="C33" s="12" t="s">
        <v>52</v>
      </c>
      <c r="D33" s="12"/>
      <c r="E33" s="12"/>
      <c r="F33" s="12"/>
      <c r="G33" s="12"/>
      <c r="H33" s="12"/>
    </row>
    <row r="34" customFormat="false" ht="19.5" hidden="false" customHeight="true" outlineLevel="0" collapsed="false">
      <c r="B34" s="11" t="s">
        <v>43</v>
      </c>
      <c r="C34" s="12" t="s">
        <v>53</v>
      </c>
      <c r="D34" s="12"/>
      <c r="E34" s="12"/>
      <c r="F34" s="12"/>
      <c r="G34" s="12"/>
      <c r="H34" s="12"/>
    </row>
    <row r="36" customFormat="false" ht="18" hidden="false" customHeight="true" outlineLevel="0" collapsed="false">
      <c r="B36" s="5" t="s">
        <v>54</v>
      </c>
      <c r="C36" s="5"/>
      <c r="D36" s="5"/>
      <c r="E36" s="5"/>
      <c r="F36" s="5"/>
      <c r="G36" s="5"/>
      <c r="H36" s="5"/>
    </row>
    <row r="37" customFormat="false" ht="19.5" hidden="false" customHeight="true" outlineLevel="0" collapsed="false">
      <c r="B37" s="17" t="s">
        <v>55</v>
      </c>
      <c r="C37" s="17"/>
      <c r="D37" s="17"/>
      <c r="E37" s="17"/>
      <c r="F37" s="17"/>
      <c r="G37" s="17"/>
      <c r="H37" s="17"/>
    </row>
    <row r="38" customFormat="false" ht="19.5" hidden="false" customHeight="true" outlineLevel="0" collapsed="false">
      <c r="B38" s="17"/>
      <c r="C38" s="17"/>
      <c r="D38" s="17"/>
      <c r="E38" s="17"/>
      <c r="F38" s="17"/>
      <c r="G38" s="17"/>
      <c r="H38" s="17"/>
    </row>
    <row r="39" customFormat="false" ht="19.5" hidden="false" customHeight="true" outlineLevel="0" collapsed="false">
      <c r="B39" s="17"/>
      <c r="C39" s="17"/>
      <c r="D39" s="17"/>
      <c r="E39" s="17"/>
      <c r="F39" s="17"/>
      <c r="G39" s="17"/>
      <c r="H39" s="17"/>
    </row>
    <row r="41" customFormat="false" ht="15" hidden="false" customHeight="true" outlineLevel="0" collapsed="false">
      <c r="B41" s="18" t="s">
        <v>56</v>
      </c>
      <c r="C41" s="18"/>
      <c r="D41" s="18"/>
      <c r="E41" s="18"/>
      <c r="F41" s="18"/>
      <c r="G41" s="18"/>
      <c r="H41" s="18"/>
    </row>
  </sheetData>
  <mergeCells count="33">
    <mergeCell ref="A1:H1"/>
    <mergeCell ref="A2:H2"/>
    <mergeCell ref="B4:H4"/>
    <mergeCell ref="B6:H6"/>
    <mergeCell ref="D7:H7"/>
    <mergeCell ref="D8:H8"/>
    <mergeCell ref="D9:H9"/>
    <mergeCell ref="D10:H10"/>
    <mergeCell ref="D11:H11"/>
    <mergeCell ref="D12:H12"/>
    <mergeCell ref="D13:H13"/>
    <mergeCell ref="D14:H14"/>
    <mergeCell ref="D15:H15"/>
    <mergeCell ref="B17:H17"/>
    <mergeCell ref="C18:H18"/>
    <mergeCell ref="C19:H19"/>
    <mergeCell ref="C20:H20"/>
    <mergeCell ref="C21:H21"/>
    <mergeCell ref="C22:H22"/>
    <mergeCell ref="B24:H24"/>
    <mergeCell ref="C25:H25"/>
    <mergeCell ref="C26:H26"/>
    <mergeCell ref="C27:H27"/>
    <mergeCell ref="C28:H28"/>
    <mergeCell ref="C29:H29"/>
    <mergeCell ref="C30:H30"/>
    <mergeCell ref="C31:H31"/>
    <mergeCell ref="C32:H32"/>
    <mergeCell ref="C33:H33"/>
    <mergeCell ref="C34:H34"/>
    <mergeCell ref="B36:H36"/>
    <mergeCell ref="B37:H39"/>
    <mergeCell ref="B41:H41"/>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&amp;LIB Excel Dojo</oddHeader>
    <oddFooter>&amp;RPage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H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26"/>
    <col collapsed="false" customWidth="true" hidden="false" outlineLevel="0" max="4" min="4" style="1" width="22"/>
    <col collapsed="false" customWidth="true" hidden="false" outlineLevel="0" max="5" min="5" style="1" width="38"/>
    <col collapsed="false" customWidth="true" hidden="false" outlineLevel="0" max="6" min="6" style="1" width="16"/>
    <col collapsed="false" customWidth="true" hidden="false" outlineLevel="0" max="7" min="7" style="1" width="22"/>
    <col collapsed="false" customWidth="true" hidden="false" outlineLevel="0" max="8" min="8" style="1" width="28"/>
  </cols>
  <sheetData>
    <row r="1" customFormat="false" ht="27.75" hidden="false" customHeight="true" outlineLevel="0" collapsed="false">
      <c r="A1" s="2" t="s">
        <v>57</v>
      </c>
      <c r="B1" s="2"/>
      <c r="C1" s="2"/>
      <c r="D1" s="2"/>
      <c r="E1" s="2"/>
      <c r="F1" s="2"/>
      <c r="G1" s="2"/>
      <c r="H1" s="2"/>
    </row>
    <row r="2" customFormat="false" ht="18" hidden="false" customHeight="true" outlineLevel="0" collapsed="false">
      <c r="A2" s="3" t="s">
        <v>58</v>
      </c>
      <c r="B2" s="3"/>
      <c r="C2" s="3"/>
      <c r="D2" s="3"/>
      <c r="E2" s="3"/>
      <c r="F2" s="3"/>
      <c r="G2" s="3"/>
      <c r="H2" s="3"/>
    </row>
    <row r="4" customFormat="false" ht="19.5" hidden="false" customHeight="true" outlineLevel="0" collapsed="false">
      <c r="B4" s="6" t="s">
        <v>59</v>
      </c>
      <c r="C4" s="6" t="s">
        <v>60</v>
      </c>
      <c r="D4" s="6" t="s">
        <v>61</v>
      </c>
      <c r="E4" s="6" t="s">
        <v>62</v>
      </c>
      <c r="F4" s="6" t="s">
        <v>63</v>
      </c>
      <c r="G4" s="6" t="s">
        <v>64</v>
      </c>
      <c r="H4" s="6" t="s">
        <v>65</v>
      </c>
    </row>
    <row r="5" customFormat="false" ht="18" hidden="false" customHeight="true" outlineLevel="0" collapsed="false">
      <c r="B5" s="19" t="s">
        <v>66</v>
      </c>
      <c r="C5" s="19" t="s">
        <v>67</v>
      </c>
      <c r="D5" s="20" t="s">
        <v>68</v>
      </c>
      <c r="E5" s="19" t="s">
        <v>69</v>
      </c>
      <c r="F5" s="21" t="s">
        <v>70</v>
      </c>
      <c r="G5" s="20" t="s">
        <v>68</v>
      </c>
      <c r="H5" s="19" t="s">
        <v>71</v>
      </c>
    </row>
    <row r="6" customFormat="false" ht="18" hidden="false" customHeight="true" outlineLevel="0" collapsed="false">
      <c r="B6" s="22" t="s">
        <v>66</v>
      </c>
      <c r="C6" s="22" t="s">
        <v>72</v>
      </c>
      <c r="D6" s="23" t="s">
        <v>73</v>
      </c>
      <c r="E6" s="22" t="s">
        <v>74</v>
      </c>
      <c r="F6" s="21" t="s">
        <v>70</v>
      </c>
      <c r="G6" s="23" t="s">
        <v>73</v>
      </c>
      <c r="H6" s="22" t="s">
        <v>75</v>
      </c>
    </row>
    <row r="7" customFormat="false" ht="18" hidden="false" customHeight="true" outlineLevel="0" collapsed="false">
      <c r="B7" s="19" t="s">
        <v>66</v>
      </c>
      <c r="C7" s="19" t="s">
        <v>76</v>
      </c>
      <c r="D7" s="20" t="s">
        <v>77</v>
      </c>
      <c r="E7" s="19" t="s">
        <v>78</v>
      </c>
      <c r="F7" s="21" t="s">
        <v>70</v>
      </c>
      <c r="G7" s="20" t="s">
        <v>79</v>
      </c>
      <c r="H7" s="19" t="s">
        <v>80</v>
      </c>
    </row>
    <row r="8" customFormat="false" ht="18" hidden="false" customHeight="true" outlineLevel="0" collapsed="false">
      <c r="B8" s="22" t="s">
        <v>66</v>
      </c>
      <c r="C8" s="22" t="s">
        <v>81</v>
      </c>
      <c r="D8" s="23" t="s">
        <v>82</v>
      </c>
      <c r="E8" s="22" t="s">
        <v>83</v>
      </c>
      <c r="F8" s="21" t="s">
        <v>70</v>
      </c>
      <c r="G8" s="23" t="s">
        <v>84</v>
      </c>
      <c r="H8" s="22" t="s">
        <v>85</v>
      </c>
    </row>
    <row r="9" customFormat="false" ht="18" hidden="false" customHeight="true" outlineLevel="0" collapsed="false">
      <c r="B9" s="19" t="s">
        <v>66</v>
      </c>
      <c r="C9" s="19" t="s">
        <v>86</v>
      </c>
      <c r="D9" s="20" t="s">
        <v>87</v>
      </c>
      <c r="E9" s="19" t="s">
        <v>88</v>
      </c>
      <c r="F9" s="24" t="s">
        <v>89</v>
      </c>
      <c r="G9" s="20" t="s">
        <v>90</v>
      </c>
      <c r="H9" s="19" t="s">
        <v>91</v>
      </c>
    </row>
    <row r="10" customFormat="false" ht="18" hidden="false" customHeight="true" outlineLevel="0" collapsed="false">
      <c r="B10" s="22" t="s">
        <v>66</v>
      </c>
      <c r="C10" s="22" t="s">
        <v>92</v>
      </c>
      <c r="D10" s="23" t="s">
        <v>93</v>
      </c>
      <c r="E10" s="22" t="s">
        <v>94</v>
      </c>
      <c r="F10" s="24" t="s">
        <v>89</v>
      </c>
      <c r="G10" s="23" t="s">
        <v>95</v>
      </c>
      <c r="H10" s="22" t="s">
        <v>96</v>
      </c>
    </row>
    <row r="11" customFormat="false" ht="18" hidden="false" customHeight="true" outlineLevel="0" collapsed="false">
      <c r="B11" s="19" t="s">
        <v>97</v>
      </c>
      <c r="C11" s="19" t="s">
        <v>98</v>
      </c>
      <c r="D11" s="20" t="s">
        <v>99</v>
      </c>
      <c r="E11" s="19" t="s">
        <v>100</v>
      </c>
      <c r="F11" s="21" t="s">
        <v>70</v>
      </c>
      <c r="G11" s="20" t="s">
        <v>101</v>
      </c>
      <c r="H11" s="19" t="s">
        <v>102</v>
      </c>
    </row>
    <row r="12" customFormat="false" ht="18" hidden="false" customHeight="true" outlineLevel="0" collapsed="false">
      <c r="B12" s="22" t="s">
        <v>97</v>
      </c>
      <c r="C12" s="22" t="s">
        <v>103</v>
      </c>
      <c r="D12" s="23" t="s">
        <v>104</v>
      </c>
      <c r="E12" s="22" t="s">
        <v>105</v>
      </c>
      <c r="F12" s="21" t="s">
        <v>70</v>
      </c>
      <c r="G12" s="23" t="s">
        <v>106</v>
      </c>
      <c r="H12" s="22" t="s">
        <v>107</v>
      </c>
    </row>
    <row r="13" customFormat="false" ht="18" hidden="false" customHeight="true" outlineLevel="0" collapsed="false">
      <c r="B13" s="19" t="s">
        <v>97</v>
      </c>
      <c r="C13" s="19" t="s">
        <v>108</v>
      </c>
      <c r="D13" s="20" t="s">
        <v>109</v>
      </c>
      <c r="E13" s="19" t="s">
        <v>110</v>
      </c>
      <c r="F13" s="21" t="s">
        <v>70</v>
      </c>
      <c r="G13" s="20" t="s">
        <v>111</v>
      </c>
      <c r="H13" s="19" t="s">
        <v>112</v>
      </c>
    </row>
    <row r="14" customFormat="false" ht="18" hidden="false" customHeight="true" outlineLevel="0" collapsed="false">
      <c r="B14" s="22" t="s">
        <v>97</v>
      </c>
      <c r="C14" s="22" t="s">
        <v>113</v>
      </c>
      <c r="D14" s="23" t="s">
        <v>114</v>
      </c>
      <c r="E14" s="22" t="s">
        <v>115</v>
      </c>
      <c r="F14" s="21" t="s">
        <v>70</v>
      </c>
      <c r="G14" s="23" t="s">
        <v>116</v>
      </c>
      <c r="H14" s="22" t="s">
        <v>117</v>
      </c>
    </row>
    <row r="15" customFormat="false" ht="18" hidden="false" customHeight="true" outlineLevel="0" collapsed="false">
      <c r="B15" s="19" t="s">
        <v>97</v>
      </c>
      <c r="C15" s="19" t="s">
        <v>118</v>
      </c>
      <c r="D15" s="20" t="s">
        <v>119</v>
      </c>
      <c r="E15" s="19" t="s">
        <v>120</v>
      </c>
      <c r="F15" s="21" t="s">
        <v>70</v>
      </c>
      <c r="G15" s="20" t="s">
        <v>121</v>
      </c>
      <c r="H15" s="19" t="s">
        <v>122</v>
      </c>
    </row>
    <row r="16" customFormat="false" ht="18" hidden="false" customHeight="true" outlineLevel="0" collapsed="false">
      <c r="B16" s="22" t="s">
        <v>97</v>
      </c>
      <c r="C16" s="22" t="s">
        <v>123</v>
      </c>
      <c r="D16" s="23" t="s">
        <v>124</v>
      </c>
      <c r="E16" s="22" t="s">
        <v>125</v>
      </c>
      <c r="F16" s="21" t="s">
        <v>70</v>
      </c>
      <c r="G16" s="23" t="s">
        <v>126</v>
      </c>
      <c r="H16" s="22" t="s">
        <v>127</v>
      </c>
    </row>
    <row r="17" customFormat="false" ht="18" hidden="false" customHeight="true" outlineLevel="0" collapsed="false">
      <c r="B17" s="19" t="s">
        <v>97</v>
      </c>
      <c r="C17" s="19" t="s">
        <v>128</v>
      </c>
      <c r="D17" s="20" t="s">
        <v>129</v>
      </c>
      <c r="E17" s="19" t="s">
        <v>130</v>
      </c>
      <c r="F17" s="24" t="s">
        <v>89</v>
      </c>
      <c r="G17" s="20" t="s">
        <v>131</v>
      </c>
      <c r="H17" s="19" t="s">
        <v>132</v>
      </c>
    </row>
    <row r="18" customFormat="false" ht="18" hidden="false" customHeight="true" outlineLevel="0" collapsed="false">
      <c r="B18" s="22" t="s">
        <v>97</v>
      </c>
      <c r="C18" s="22" t="s">
        <v>133</v>
      </c>
      <c r="D18" s="23" t="s">
        <v>134</v>
      </c>
      <c r="E18" s="22" t="s">
        <v>135</v>
      </c>
      <c r="F18" s="24" t="s">
        <v>89</v>
      </c>
      <c r="G18" s="23" t="s">
        <v>134</v>
      </c>
      <c r="H18" s="22" t="s">
        <v>136</v>
      </c>
    </row>
    <row r="19" customFormat="false" ht="18" hidden="false" customHeight="true" outlineLevel="0" collapsed="false">
      <c r="B19" s="19" t="s">
        <v>97</v>
      </c>
      <c r="C19" s="19" t="s">
        <v>137</v>
      </c>
      <c r="D19" s="20" t="s">
        <v>138</v>
      </c>
      <c r="E19" s="19" t="s">
        <v>139</v>
      </c>
      <c r="F19" s="24" t="s">
        <v>89</v>
      </c>
      <c r="G19" s="20" t="s">
        <v>140</v>
      </c>
      <c r="H19" s="19" t="s">
        <v>141</v>
      </c>
    </row>
    <row r="20" customFormat="false" ht="18" hidden="false" customHeight="true" outlineLevel="0" collapsed="false">
      <c r="B20" s="22" t="s">
        <v>142</v>
      </c>
      <c r="C20" s="22" t="s">
        <v>143</v>
      </c>
      <c r="D20" s="23" t="s">
        <v>144</v>
      </c>
      <c r="E20" s="22" t="s">
        <v>145</v>
      </c>
      <c r="F20" s="21" t="s">
        <v>70</v>
      </c>
      <c r="G20" s="23" t="s">
        <v>146</v>
      </c>
      <c r="H20" s="22" t="s">
        <v>147</v>
      </c>
    </row>
    <row r="21" customFormat="false" ht="18" hidden="false" customHeight="true" outlineLevel="0" collapsed="false">
      <c r="B21" s="19" t="s">
        <v>142</v>
      </c>
      <c r="C21" s="19" t="s">
        <v>148</v>
      </c>
      <c r="D21" s="20" t="s">
        <v>149</v>
      </c>
      <c r="E21" s="19" t="s">
        <v>150</v>
      </c>
      <c r="F21" s="24" t="s">
        <v>89</v>
      </c>
      <c r="G21" s="20" t="s">
        <v>149</v>
      </c>
      <c r="H21" s="19" t="s">
        <v>151</v>
      </c>
    </row>
    <row r="22" customFormat="false" ht="18" hidden="false" customHeight="true" outlineLevel="0" collapsed="false">
      <c r="B22" s="22" t="s">
        <v>142</v>
      </c>
      <c r="C22" s="22" t="s">
        <v>152</v>
      </c>
      <c r="D22" s="23" t="s">
        <v>153</v>
      </c>
      <c r="E22" s="22" t="s">
        <v>154</v>
      </c>
      <c r="F22" s="24" t="s">
        <v>89</v>
      </c>
      <c r="G22" s="23" t="s">
        <v>153</v>
      </c>
      <c r="H22" s="22" t="s">
        <v>155</v>
      </c>
    </row>
    <row r="23" customFormat="false" ht="18" hidden="false" customHeight="true" outlineLevel="0" collapsed="false">
      <c r="B23" s="19" t="s">
        <v>142</v>
      </c>
      <c r="C23" s="19" t="s">
        <v>156</v>
      </c>
      <c r="D23" s="20" t="s">
        <v>157</v>
      </c>
      <c r="E23" s="19" t="s">
        <v>158</v>
      </c>
      <c r="F23" s="24" t="s">
        <v>89</v>
      </c>
      <c r="G23" s="20" t="s">
        <v>157</v>
      </c>
      <c r="H23" s="19" t="s">
        <v>159</v>
      </c>
    </row>
    <row r="24" customFormat="false" ht="18" hidden="false" customHeight="true" outlineLevel="0" collapsed="false">
      <c r="B24" s="22" t="s">
        <v>142</v>
      </c>
      <c r="C24" s="22" t="s">
        <v>160</v>
      </c>
      <c r="D24" s="23" t="s">
        <v>161</v>
      </c>
      <c r="E24" s="22" t="s">
        <v>162</v>
      </c>
      <c r="F24" s="25" t="s">
        <v>163</v>
      </c>
      <c r="G24" s="23" t="s">
        <v>164</v>
      </c>
      <c r="H24" s="22" t="s">
        <v>165</v>
      </c>
    </row>
    <row r="25" customFormat="false" ht="18" hidden="false" customHeight="true" outlineLevel="0" collapsed="false">
      <c r="B25" s="19" t="s">
        <v>142</v>
      </c>
      <c r="C25" s="19" t="s">
        <v>166</v>
      </c>
      <c r="D25" s="20" t="s">
        <v>167</v>
      </c>
      <c r="E25" s="19" t="s">
        <v>168</v>
      </c>
      <c r="F25" s="26" t="s">
        <v>169</v>
      </c>
      <c r="G25" s="20" t="s">
        <v>170</v>
      </c>
      <c r="H25" s="19" t="s">
        <v>171</v>
      </c>
    </row>
    <row r="26" customFormat="false" ht="18" hidden="false" customHeight="true" outlineLevel="0" collapsed="false">
      <c r="B26" s="22" t="s">
        <v>142</v>
      </c>
      <c r="C26" s="22" t="s">
        <v>172</v>
      </c>
      <c r="D26" s="23" t="s">
        <v>173</v>
      </c>
      <c r="E26" s="22" t="s">
        <v>174</v>
      </c>
      <c r="F26" s="26" t="s">
        <v>169</v>
      </c>
      <c r="G26" s="23" t="s">
        <v>175</v>
      </c>
      <c r="H26" s="22" t="s">
        <v>176</v>
      </c>
    </row>
    <row r="27" customFormat="false" ht="18" hidden="false" customHeight="true" outlineLevel="0" collapsed="false">
      <c r="B27" s="19" t="s">
        <v>142</v>
      </c>
      <c r="C27" s="19" t="s">
        <v>177</v>
      </c>
      <c r="D27" s="20" t="s">
        <v>178</v>
      </c>
      <c r="E27" s="19" t="s">
        <v>179</v>
      </c>
      <c r="F27" s="26" t="s">
        <v>169</v>
      </c>
      <c r="G27" s="20" t="s">
        <v>180</v>
      </c>
      <c r="H27" s="19" t="s">
        <v>181</v>
      </c>
    </row>
    <row r="28" customFormat="false" ht="18" hidden="false" customHeight="true" outlineLevel="0" collapsed="false">
      <c r="B28" s="22" t="s">
        <v>142</v>
      </c>
      <c r="C28" s="22" t="s">
        <v>182</v>
      </c>
      <c r="D28" s="23" t="s">
        <v>183</v>
      </c>
      <c r="E28" s="22" t="s">
        <v>184</v>
      </c>
      <c r="F28" s="26" t="s">
        <v>169</v>
      </c>
      <c r="G28" s="23" t="s">
        <v>185</v>
      </c>
      <c r="H28" s="22" t="s">
        <v>186</v>
      </c>
    </row>
    <row r="29" customFormat="false" ht="18" hidden="false" customHeight="true" outlineLevel="0" collapsed="false">
      <c r="B29" s="19" t="s">
        <v>187</v>
      </c>
      <c r="C29" s="19" t="s">
        <v>188</v>
      </c>
      <c r="D29" s="20" t="s">
        <v>189</v>
      </c>
      <c r="E29" s="19" t="s">
        <v>190</v>
      </c>
      <c r="F29" s="25" t="s">
        <v>163</v>
      </c>
      <c r="G29" s="20" t="s">
        <v>191</v>
      </c>
      <c r="H29" s="19" t="s">
        <v>192</v>
      </c>
    </row>
    <row r="30" customFormat="false" ht="18" hidden="false" customHeight="true" outlineLevel="0" collapsed="false">
      <c r="B30" s="22" t="s">
        <v>187</v>
      </c>
      <c r="C30" s="22" t="s">
        <v>193</v>
      </c>
      <c r="D30" s="23" t="s">
        <v>194</v>
      </c>
      <c r="E30" s="22" t="s">
        <v>195</v>
      </c>
      <c r="F30" s="25" t="s">
        <v>163</v>
      </c>
      <c r="G30" s="23" t="s">
        <v>194</v>
      </c>
      <c r="H30" s="22" t="s">
        <v>196</v>
      </c>
    </row>
    <row r="31" customFormat="false" ht="18" hidden="false" customHeight="true" outlineLevel="0" collapsed="false">
      <c r="B31" s="19" t="s">
        <v>187</v>
      </c>
      <c r="C31" s="19" t="s">
        <v>197</v>
      </c>
      <c r="D31" s="20" t="s">
        <v>198</v>
      </c>
      <c r="E31" s="19" t="s">
        <v>199</v>
      </c>
      <c r="F31" s="26" t="s">
        <v>169</v>
      </c>
      <c r="G31" s="20" t="s">
        <v>198</v>
      </c>
      <c r="H31" s="19" t="s">
        <v>200</v>
      </c>
    </row>
    <row r="32" customFormat="false" ht="18" hidden="false" customHeight="true" outlineLevel="0" collapsed="false">
      <c r="B32" s="22" t="s">
        <v>187</v>
      </c>
      <c r="C32" s="22" t="s">
        <v>201</v>
      </c>
      <c r="D32" s="23" t="s">
        <v>202</v>
      </c>
      <c r="E32" s="22" t="s">
        <v>203</v>
      </c>
      <c r="F32" s="26" t="s">
        <v>169</v>
      </c>
      <c r="G32" s="23" t="s">
        <v>204</v>
      </c>
      <c r="H32" s="22" t="s">
        <v>205</v>
      </c>
    </row>
    <row r="33" customFormat="false" ht="18" hidden="false" customHeight="true" outlineLevel="0" collapsed="false">
      <c r="B33" s="19" t="s">
        <v>187</v>
      </c>
      <c r="C33" s="19" t="s">
        <v>206</v>
      </c>
      <c r="D33" s="20" t="s">
        <v>207</v>
      </c>
      <c r="E33" s="19" t="s">
        <v>208</v>
      </c>
      <c r="F33" s="25" t="s">
        <v>163</v>
      </c>
      <c r="G33" s="20" t="s">
        <v>209</v>
      </c>
      <c r="H33" s="19" t="s">
        <v>210</v>
      </c>
    </row>
    <row r="34" customFormat="false" ht="18" hidden="false" customHeight="true" outlineLevel="0" collapsed="false">
      <c r="B34" s="22" t="s">
        <v>187</v>
      </c>
      <c r="C34" s="22" t="s">
        <v>211</v>
      </c>
      <c r="D34" s="23" t="s">
        <v>212</v>
      </c>
      <c r="E34" s="22" t="s">
        <v>213</v>
      </c>
      <c r="F34" s="25" t="s">
        <v>163</v>
      </c>
      <c r="G34" s="23" t="s">
        <v>214</v>
      </c>
      <c r="H34" s="22" t="s">
        <v>215</v>
      </c>
    </row>
    <row r="35" customFormat="false" ht="18" hidden="false" customHeight="true" outlineLevel="0" collapsed="false">
      <c r="B35" s="19" t="s">
        <v>187</v>
      </c>
      <c r="C35" s="19" t="s">
        <v>216</v>
      </c>
      <c r="D35" s="20" t="s">
        <v>217</v>
      </c>
      <c r="E35" s="19" t="s">
        <v>218</v>
      </c>
      <c r="F35" s="26" t="s">
        <v>169</v>
      </c>
      <c r="G35" s="20" t="s">
        <v>219</v>
      </c>
      <c r="H35" s="19" t="s">
        <v>220</v>
      </c>
    </row>
    <row r="36" customFormat="false" ht="18" hidden="false" customHeight="true" outlineLevel="0" collapsed="false">
      <c r="B36" s="22" t="s">
        <v>187</v>
      </c>
      <c r="C36" s="22" t="s">
        <v>221</v>
      </c>
      <c r="D36" s="23" t="s">
        <v>222</v>
      </c>
      <c r="E36" s="22" t="s">
        <v>223</v>
      </c>
      <c r="F36" s="27" t="s">
        <v>224</v>
      </c>
      <c r="G36" s="23" t="s">
        <v>225</v>
      </c>
      <c r="H36" s="22" t="s">
        <v>226</v>
      </c>
    </row>
    <row r="37" customFormat="false" ht="18" hidden="false" customHeight="true" outlineLevel="0" collapsed="false">
      <c r="B37" s="19" t="s">
        <v>227</v>
      </c>
      <c r="C37" s="19" t="s">
        <v>228</v>
      </c>
      <c r="D37" s="20" t="s">
        <v>229</v>
      </c>
      <c r="E37" s="19" t="s">
        <v>230</v>
      </c>
      <c r="F37" s="26" t="s">
        <v>169</v>
      </c>
      <c r="G37" s="20" t="s">
        <v>231</v>
      </c>
      <c r="H37" s="19" t="s">
        <v>232</v>
      </c>
    </row>
    <row r="38" customFormat="false" ht="18" hidden="false" customHeight="true" outlineLevel="0" collapsed="false">
      <c r="B38" s="22" t="s">
        <v>227</v>
      </c>
      <c r="C38" s="22" t="s">
        <v>233</v>
      </c>
      <c r="D38" s="23" t="s">
        <v>234</v>
      </c>
      <c r="E38" s="22" t="s">
        <v>235</v>
      </c>
      <c r="F38" s="26" t="s">
        <v>169</v>
      </c>
      <c r="G38" s="23" t="s">
        <v>236</v>
      </c>
      <c r="H38" s="22" t="s">
        <v>237</v>
      </c>
    </row>
    <row r="39" customFormat="false" ht="18" hidden="false" customHeight="true" outlineLevel="0" collapsed="false">
      <c r="B39" s="19" t="s">
        <v>227</v>
      </c>
      <c r="C39" s="19" t="s">
        <v>238</v>
      </c>
      <c r="D39" s="20" t="s">
        <v>239</v>
      </c>
      <c r="E39" s="19" t="s">
        <v>240</v>
      </c>
      <c r="F39" s="27" t="s">
        <v>224</v>
      </c>
      <c r="G39" s="20" t="s">
        <v>241</v>
      </c>
      <c r="H39" s="19" t="s">
        <v>242</v>
      </c>
    </row>
    <row r="40" customFormat="false" ht="18" hidden="false" customHeight="true" outlineLevel="0" collapsed="false">
      <c r="B40" s="22" t="s">
        <v>227</v>
      </c>
      <c r="C40" s="22" t="s">
        <v>243</v>
      </c>
      <c r="D40" s="23" t="s">
        <v>244</v>
      </c>
      <c r="E40" s="22" t="s">
        <v>245</v>
      </c>
      <c r="F40" s="27" t="s">
        <v>224</v>
      </c>
      <c r="G40" s="23" t="s">
        <v>246</v>
      </c>
      <c r="H40" s="22" t="s">
        <v>247</v>
      </c>
    </row>
    <row r="41" customFormat="false" ht="18" hidden="false" customHeight="true" outlineLevel="0" collapsed="false">
      <c r="B41" s="19" t="s">
        <v>227</v>
      </c>
      <c r="C41" s="19" t="s">
        <v>248</v>
      </c>
      <c r="D41" s="20" t="s">
        <v>249</v>
      </c>
      <c r="E41" s="19" t="s">
        <v>250</v>
      </c>
      <c r="F41" s="27" t="s">
        <v>224</v>
      </c>
      <c r="G41" s="20" t="s">
        <v>251</v>
      </c>
      <c r="H41" s="19" t="s">
        <v>252</v>
      </c>
    </row>
    <row r="42" customFormat="false" ht="18" hidden="false" customHeight="true" outlineLevel="0" collapsed="false">
      <c r="B42" s="22" t="s">
        <v>227</v>
      </c>
      <c r="C42" s="22" t="s">
        <v>253</v>
      </c>
      <c r="D42" s="23" t="s">
        <v>254</v>
      </c>
      <c r="E42" s="22" t="s">
        <v>255</v>
      </c>
      <c r="F42" s="27" t="s">
        <v>224</v>
      </c>
      <c r="G42" s="23" t="s">
        <v>254</v>
      </c>
      <c r="H42" s="22" t="s">
        <v>256</v>
      </c>
    </row>
    <row r="43" customFormat="false" ht="18" hidden="false" customHeight="true" outlineLevel="0" collapsed="false">
      <c r="B43" s="19" t="s">
        <v>257</v>
      </c>
      <c r="C43" s="19" t="s">
        <v>258</v>
      </c>
      <c r="D43" s="20" t="s">
        <v>259</v>
      </c>
      <c r="E43" s="19" t="s">
        <v>260</v>
      </c>
      <c r="F43" s="26" t="s">
        <v>169</v>
      </c>
      <c r="G43" s="20" t="s">
        <v>259</v>
      </c>
      <c r="H43" s="19" t="s">
        <v>261</v>
      </c>
    </row>
    <row r="44" customFormat="false" ht="18" hidden="false" customHeight="true" outlineLevel="0" collapsed="false">
      <c r="B44" s="22" t="s">
        <v>257</v>
      </c>
      <c r="C44" s="22" t="s">
        <v>262</v>
      </c>
      <c r="D44" s="23" t="s">
        <v>263</v>
      </c>
      <c r="E44" s="22" t="s">
        <v>264</v>
      </c>
      <c r="F44" s="27" t="s">
        <v>224</v>
      </c>
      <c r="G44" s="23" t="s">
        <v>263</v>
      </c>
      <c r="H44" s="22" t="s">
        <v>265</v>
      </c>
    </row>
    <row r="45" customFormat="false" ht="18" hidden="false" customHeight="true" outlineLevel="0" collapsed="false">
      <c r="B45" s="19" t="s">
        <v>257</v>
      </c>
      <c r="C45" s="19" t="s">
        <v>266</v>
      </c>
      <c r="D45" s="20" t="s">
        <v>267</v>
      </c>
      <c r="E45" s="19" t="s">
        <v>268</v>
      </c>
      <c r="F45" s="27" t="s">
        <v>224</v>
      </c>
      <c r="G45" s="20" t="s">
        <v>269</v>
      </c>
      <c r="H45" s="19" t="s">
        <v>270</v>
      </c>
    </row>
    <row r="46" customFormat="false" ht="18" hidden="false" customHeight="true" outlineLevel="0" collapsed="false">
      <c r="B46" s="22" t="s">
        <v>257</v>
      </c>
      <c r="C46" s="22" t="s">
        <v>271</v>
      </c>
      <c r="D46" s="23" t="s">
        <v>272</v>
      </c>
      <c r="E46" s="22" t="s">
        <v>273</v>
      </c>
      <c r="F46" s="26" t="s">
        <v>169</v>
      </c>
      <c r="G46" s="23" t="s">
        <v>272</v>
      </c>
      <c r="H46" s="22" t="s">
        <v>274</v>
      </c>
    </row>
    <row r="47" customFormat="false" ht="18" hidden="false" customHeight="true" outlineLevel="0" collapsed="false">
      <c r="B47" s="19" t="s">
        <v>275</v>
      </c>
      <c r="C47" s="19" t="s">
        <v>276</v>
      </c>
      <c r="D47" s="20" t="s">
        <v>277</v>
      </c>
      <c r="E47" s="19" t="s">
        <v>278</v>
      </c>
      <c r="F47" s="27" t="s">
        <v>224</v>
      </c>
      <c r="G47" s="20" t="s">
        <v>279</v>
      </c>
      <c r="H47" s="19" t="s">
        <v>280</v>
      </c>
    </row>
    <row r="48" customFormat="false" ht="18" hidden="false" customHeight="true" outlineLevel="0" collapsed="false">
      <c r="B48" s="22" t="s">
        <v>275</v>
      </c>
      <c r="C48" s="22" t="s">
        <v>281</v>
      </c>
      <c r="D48" s="23" t="s">
        <v>282</v>
      </c>
      <c r="E48" s="22" t="s">
        <v>283</v>
      </c>
      <c r="F48" s="27" t="s">
        <v>224</v>
      </c>
      <c r="G48" s="23" t="s">
        <v>284</v>
      </c>
      <c r="H48" s="22" t="s">
        <v>285</v>
      </c>
    </row>
    <row r="49" customFormat="false" ht="18" hidden="false" customHeight="true" outlineLevel="0" collapsed="false">
      <c r="B49" s="19" t="s">
        <v>286</v>
      </c>
      <c r="C49" s="19" t="s">
        <v>287</v>
      </c>
      <c r="D49" s="20" t="s">
        <v>288</v>
      </c>
      <c r="E49" s="19" t="s">
        <v>289</v>
      </c>
      <c r="F49" s="27" t="s">
        <v>224</v>
      </c>
      <c r="G49" s="20" t="s">
        <v>290</v>
      </c>
      <c r="H49" s="19" t="s">
        <v>291</v>
      </c>
    </row>
    <row r="50" customFormat="false" ht="18" hidden="false" customHeight="true" outlineLevel="0" collapsed="false">
      <c r="B50" s="22" t="s">
        <v>286</v>
      </c>
      <c r="C50" s="22" t="s">
        <v>292</v>
      </c>
      <c r="D50" s="23" t="s">
        <v>293</v>
      </c>
      <c r="E50" s="22" t="s">
        <v>294</v>
      </c>
      <c r="F50" s="27" t="s">
        <v>224</v>
      </c>
      <c r="G50" s="23" t="s">
        <v>295</v>
      </c>
      <c r="H50" s="22" t="s">
        <v>296</v>
      </c>
    </row>
    <row r="52" customFormat="false" ht="18" hidden="false" customHeight="true" outlineLevel="0" collapsed="false">
      <c r="B52" s="5" t="s">
        <v>297</v>
      </c>
      <c r="C52" s="5"/>
      <c r="D52" s="5"/>
      <c r="E52" s="5"/>
      <c r="F52" s="5"/>
      <c r="G52" s="5"/>
      <c r="H52" s="5"/>
    </row>
    <row r="53" customFormat="false" ht="15" hidden="false" customHeight="true" outlineLevel="0" collapsed="false">
      <c r="B53" s="28" t="s">
        <v>298</v>
      </c>
      <c r="C53" s="28"/>
      <c r="D53" s="28"/>
      <c r="E53" s="28"/>
      <c r="F53" s="28"/>
      <c r="G53" s="28"/>
      <c r="H53" s="28"/>
    </row>
    <row r="54" customFormat="false" ht="15" hidden="false" customHeight="true" outlineLevel="0" collapsed="false">
      <c r="B54" s="28"/>
      <c r="C54" s="28"/>
      <c r="D54" s="28"/>
      <c r="E54" s="28"/>
      <c r="F54" s="28"/>
      <c r="G54" s="28"/>
      <c r="H54" s="28"/>
    </row>
    <row r="55" customFormat="false" ht="15" hidden="false" customHeight="true" outlineLevel="0" collapsed="false">
      <c r="B55" s="28"/>
      <c r="C55" s="28"/>
      <c r="D55" s="28"/>
      <c r="E55" s="28"/>
      <c r="F55" s="28"/>
      <c r="G55" s="28"/>
      <c r="H55" s="28"/>
    </row>
  </sheetData>
  <autoFilter ref="B4:H80"/>
  <mergeCells count="4">
    <mergeCell ref="A1:H1"/>
    <mergeCell ref="A2:H2"/>
    <mergeCell ref="B52:H52"/>
    <mergeCell ref="B53:H55"/>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&amp;LIB Excel Dojo</oddHeader>
    <oddFooter>&amp;RPage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5911"/>
    <pageSetUpPr fitToPage="tru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7" min="3" style="1" width="14"/>
    <col collapsed="false" customWidth="true" hidden="false" outlineLevel="0" max="8" min="8" style="1" width="3"/>
    <col collapsed="false" customWidth="true" hidden="false" outlineLevel="0" max="9" min="9" style="1" width="28"/>
    <col collapsed="false" customWidth="true" hidden="false" outlineLevel="0" max="12" min="10" style="1" width="14"/>
  </cols>
  <sheetData>
    <row r="1" customFormat="false" ht="27.75" hidden="false" customHeight="true" outlineLevel="0" collapsed="false">
      <c r="A1" s="2" t="s">
        <v>299</v>
      </c>
      <c r="B1" s="2"/>
      <c r="C1" s="2"/>
      <c r="D1" s="2"/>
      <c r="E1" s="2"/>
      <c r="F1" s="2"/>
      <c r="G1" s="2"/>
      <c r="H1" s="2"/>
      <c r="I1" s="2"/>
      <c r="J1" s="2"/>
      <c r="K1" s="2"/>
      <c r="L1" s="2"/>
    </row>
    <row r="2" customFormat="false" ht="18" hidden="false" customHeight="true" outlineLevel="0" collapsed="false">
      <c r="A2" s="3" t="s">
        <v>300</v>
      </c>
      <c r="B2" s="3"/>
      <c r="C2" s="3"/>
      <c r="D2" s="3"/>
      <c r="E2" s="3"/>
      <c r="F2" s="3"/>
      <c r="G2" s="3"/>
      <c r="H2" s="3"/>
      <c r="I2" s="3"/>
      <c r="J2" s="3"/>
      <c r="K2" s="3"/>
      <c r="L2" s="3"/>
    </row>
    <row r="4" customFormat="false" ht="15" hidden="false" customHeight="true" outlineLevel="0" collapsed="false">
      <c r="B4" s="29" t="s">
        <v>301</v>
      </c>
      <c r="C4" s="29"/>
      <c r="D4" s="29"/>
      <c r="E4" s="29"/>
      <c r="F4" s="29"/>
      <c r="I4" s="30" t="s">
        <v>302</v>
      </c>
      <c r="J4" s="30"/>
      <c r="K4" s="30"/>
      <c r="L4" s="30"/>
    </row>
    <row r="6" customFormat="false" ht="15" hidden="false" customHeight="true" outlineLevel="0" collapsed="false">
      <c r="B6" s="31" t="s">
        <v>303</v>
      </c>
      <c r="C6" s="32" t="n">
        <v>2023</v>
      </c>
      <c r="D6" s="32" t="n">
        <v>2024</v>
      </c>
      <c r="E6" s="32" t="n">
        <v>2025</v>
      </c>
      <c r="F6" s="32" t="s">
        <v>304</v>
      </c>
      <c r="I6" s="33" t="s">
        <v>305</v>
      </c>
      <c r="J6" s="33" t="s">
        <v>306</v>
      </c>
      <c r="K6" s="33" t="s">
        <v>307</v>
      </c>
      <c r="L6" s="33" t="s">
        <v>308</v>
      </c>
    </row>
    <row r="7" customFormat="false" ht="15" hidden="false" customHeight="true" outlineLevel="0" collapsed="false">
      <c r="B7" s="31" t="s">
        <v>309</v>
      </c>
      <c r="C7" s="32" t="n">
        <v>420000000</v>
      </c>
      <c r="D7" s="32" t="n">
        <v>460000000</v>
      </c>
      <c r="E7" s="32" t="n">
        <v>510000000</v>
      </c>
      <c r="F7" s="32"/>
      <c r="I7" s="34" t="s">
        <v>310</v>
      </c>
      <c r="J7" s="35" t="n">
        <v>420</v>
      </c>
      <c r="K7" s="35" t="n">
        <v>460</v>
      </c>
      <c r="L7" s="35" t="n">
        <v>510</v>
      </c>
    </row>
    <row r="8" customFormat="false" ht="15" hidden="false" customHeight="true" outlineLevel="0" collapsed="false">
      <c r="B8" s="31" t="s">
        <v>311</v>
      </c>
      <c r="C8" s="32" t="n">
        <v>-260400000</v>
      </c>
      <c r="D8" s="32" t="n">
        <v>-282900000</v>
      </c>
      <c r="E8" s="32" t="n">
        <v>-311100000</v>
      </c>
      <c r="F8" s="32"/>
      <c r="I8" s="36" t="s">
        <v>312</v>
      </c>
      <c r="J8" s="35" t="n">
        <v>-260.4</v>
      </c>
      <c r="K8" s="35" t="n">
        <v>-282.9</v>
      </c>
      <c r="L8" s="35" t="n">
        <v>-311.1</v>
      </c>
    </row>
    <row r="9" customFormat="false" ht="15" hidden="false" customHeight="true" outlineLevel="0" collapsed="false">
      <c r="B9" s="31" t="s">
        <v>313</v>
      </c>
      <c r="C9" s="32" t="n">
        <v>159600000</v>
      </c>
      <c r="D9" s="32" t="n">
        <v>177100000</v>
      </c>
      <c r="E9" s="32" t="n">
        <v>198900000</v>
      </c>
      <c r="F9" s="32"/>
      <c r="I9" s="37" t="s">
        <v>314</v>
      </c>
      <c r="J9" s="38" t="n">
        <v>159.6</v>
      </c>
      <c r="K9" s="38" t="n">
        <v>177.1</v>
      </c>
      <c r="L9" s="38" t="n">
        <v>198.9</v>
      </c>
    </row>
    <row r="10" customFormat="false" ht="15" hidden="false" customHeight="true" outlineLevel="0" collapsed="false">
      <c r="B10" s="31" t="s">
        <v>315</v>
      </c>
      <c r="C10" s="32" t="n">
        <v>-75600000</v>
      </c>
      <c r="D10" s="32" t="n">
        <v>-81880000</v>
      </c>
      <c r="E10" s="32" t="n">
        <v>-89250000</v>
      </c>
      <c r="F10" s="32"/>
      <c r="I10" s="36" t="s">
        <v>316</v>
      </c>
      <c r="J10" s="35" t="n">
        <v>-75.6</v>
      </c>
      <c r="K10" s="35" t="n">
        <v>-81.9</v>
      </c>
      <c r="L10" s="35" t="n">
        <v>-89.3</v>
      </c>
    </row>
    <row r="11" customFormat="false" ht="15" hidden="false" customHeight="true" outlineLevel="0" collapsed="false">
      <c r="B11" s="31" t="s">
        <v>317</v>
      </c>
      <c r="C11" s="32" t="n">
        <v>84000000</v>
      </c>
      <c r="D11" s="32" t="n">
        <v>95220000</v>
      </c>
      <c r="E11" s="32" t="n">
        <v>109650000</v>
      </c>
      <c r="F11" s="32"/>
      <c r="I11" s="37" t="s">
        <v>318</v>
      </c>
      <c r="J11" s="38" t="n">
        <v>84</v>
      </c>
      <c r="K11" s="38" t="n">
        <v>95.2</v>
      </c>
      <c r="L11" s="38" t="n">
        <v>109.7</v>
      </c>
    </row>
    <row r="12" customFormat="false" ht="15" hidden="false" customHeight="true" outlineLevel="0" collapsed="false">
      <c r="B12" s="31" t="s">
        <v>319</v>
      </c>
      <c r="C12" s="32" t="n">
        <v>-18000000</v>
      </c>
      <c r="D12" s="32" t="n">
        <v>-19000000</v>
      </c>
      <c r="E12" s="32" t="n">
        <v>-21000000</v>
      </c>
      <c r="F12" s="32"/>
      <c r="I12" s="36" t="s">
        <v>320</v>
      </c>
      <c r="J12" s="35" t="n">
        <v>-18</v>
      </c>
      <c r="K12" s="35" t="n">
        <v>-19</v>
      </c>
      <c r="L12" s="35" t="n">
        <v>-21</v>
      </c>
    </row>
    <row r="13" customFormat="false" ht="15" hidden="false" customHeight="true" outlineLevel="0" collapsed="false">
      <c r="B13" s="31" t="s">
        <v>321</v>
      </c>
      <c r="C13" s="32" t="n">
        <v>66000000</v>
      </c>
      <c r="D13" s="32" t="n">
        <v>76220000</v>
      </c>
      <c r="E13" s="32" t="n">
        <v>88650000</v>
      </c>
      <c r="F13" s="32"/>
      <c r="I13" s="37" t="s">
        <v>322</v>
      </c>
      <c r="J13" s="38" t="n">
        <v>66</v>
      </c>
      <c r="K13" s="38" t="n">
        <v>76.2</v>
      </c>
      <c r="L13" s="38" t="n">
        <v>88.7</v>
      </c>
    </row>
    <row r="14" customFormat="false" ht="15" hidden="false" customHeight="true" outlineLevel="0" collapsed="false">
      <c r="B14" s="31" t="s">
        <v>323</v>
      </c>
      <c r="C14" s="32" t="n">
        <v>-8000000</v>
      </c>
      <c r="D14" s="32" t="n">
        <v>-7500000</v>
      </c>
      <c r="E14" s="32" t="n">
        <v>-7000000</v>
      </c>
      <c r="F14" s="32"/>
      <c r="I14" s="36" t="s">
        <v>324</v>
      </c>
      <c r="J14" s="35" t="n">
        <v>-8</v>
      </c>
      <c r="K14" s="35" t="n">
        <v>-7.5</v>
      </c>
      <c r="L14" s="35" t="n">
        <v>-7</v>
      </c>
    </row>
    <row r="15" customFormat="false" ht="15" hidden="false" customHeight="true" outlineLevel="0" collapsed="false">
      <c r="B15" s="31" t="s">
        <v>325</v>
      </c>
      <c r="C15" s="32" t="n">
        <v>58000000</v>
      </c>
      <c r="D15" s="32" t="n">
        <v>68720000</v>
      </c>
      <c r="E15" s="32" t="n">
        <v>81650000</v>
      </c>
      <c r="F15" s="32"/>
      <c r="I15" s="34" t="s">
        <v>326</v>
      </c>
      <c r="J15" s="39" t="n">
        <v>58</v>
      </c>
      <c r="K15" s="39" t="n">
        <v>68.7</v>
      </c>
      <c r="L15" s="39" t="n">
        <v>81.7</v>
      </c>
    </row>
    <row r="16" customFormat="false" ht="15" hidden="false" customHeight="true" outlineLevel="0" collapsed="false">
      <c r="B16" s="31" t="s">
        <v>327</v>
      </c>
      <c r="C16" s="32" t="n">
        <v>-14500000</v>
      </c>
      <c r="D16" s="32" t="n">
        <v>-17180000</v>
      </c>
      <c r="E16" s="32" t="n">
        <v>-20412500</v>
      </c>
      <c r="F16" s="32"/>
      <c r="I16" s="36" t="s">
        <v>328</v>
      </c>
      <c r="J16" s="39" t="n">
        <v>-14.5</v>
      </c>
      <c r="K16" s="39" t="n">
        <v>-17.2</v>
      </c>
      <c r="L16" s="39" t="n">
        <v>-20.4</v>
      </c>
    </row>
    <row r="17" customFormat="false" ht="15" hidden="false" customHeight="true" outlineLevel="0" collapsed="false">
      <c r="B17" s="31" t="s">
        <v>329</v>
      </c>
      <c r="C17" s="32" t="n">
        <v>43500000</v>
      </c>
      <c r="D17" s="32" t="n">
        <v>51540000</v>
      </c>
      <c r="E17" s="32" t="n">
        <v>61237500</v>
      </c>
      <c r="F17" s="32"/>
      <c r="I17" s="40" t="s">
        <v>330</v>
      </c>
      <c r="J17" s="41" t="n">
        <v>43.5</v>
      </c>
      <c r="K17" s="41" t="n">
        <v>51.5</v>
      </c>
      <c r="L17" s="41" t="n">
        <v>61.2</v>
      </c>
    </row>
    <row r="19" customFormat="false" ht="15" hidden="false" customHeight="true" outlineLevel="0" collapsed="false">
      <c r="B19" s="42" t="s">
        <v>331</v>
      </c>
      <c r="C19" s="42"/>
      <c r="D19" s="42"/>
      <c r="E19" s="42"/>
      <c r="F19" s="42"/>
      <c r="I19" s="36" t="s">
        <v>332</v>
      </c>
      <c r="J19" s="43" t="n">
        <v>0.25</v>
      </c>
      <c r="K19" s="18" t="s">
        <v>333</v>
      </c>
      <c r="L19" s="18"/>
    </row>
    <row r="20" customFormat="false" ht="15" hidden="false" customHeight="true" outlineLevel="0" collapsed="false">
      <c r="B20" s="42"/>
      <c r="C20" s="42"/>
      <c r="D20" s="42"/>
      <c r="E20" s="42"/>
      <c r="F20" s="42"/>
    </row>
    <row r="21" customFormat="false" ht="15" hidden="false" customHeight="true" outlineLevel="0" collapsed="false">
      <c r="B21" s="42"/>
      <c r="C21" s="42"/>
      <c r="D21" s="42"/>
      <c r="E21" s="42"/>
      <c r="F21" s="42"/>
      <c r="I21" s="44" t="s">
        <v>334</v>
      </c>
      <c r="J21" s="44"/>
      <c r="K21" s="44"/>
      <c r="L21" s="44"/>
    </row>
    <row r="22" customFormat="false" ht="15" hidden="false" customHeight="true" outlineLevel="0" collapsed="false">
      <c r="B22" s="42"/>
      <c r="C22" s="42"/>
      <c r="D22" s="42"/>
      <c r="E22" s="42"/>
      <c r="F22" s="42"/>
      <c r="I22" s="44"/>
      <c r="J22" s="44"/>
      <c r="K22" s="44"/>
      <c r="L22" s="44"/>
    </row>
    <row r="23" customFormat="false" ht="15" hidden="false" customHeight="true" outlineLevel="0" collapsed="false">
      <c r="B23" s="42"/>
      <c r="C23" s="42"/>
      <c r="D23" s="42"/>
      <c r="E23" s="42"/>
      <c r="F23" s="42"/>
      <c r="I23" s="44"/>
      <c r="J23" s="44"/>
      <c r="K23" s="44"/>
      <c r="L23" s="44"/>
    </row>
    <row r="24" customFormat="false" ht="15" hidden="false" customHeight="true" outlineLevel="0" collapsed="false">
      <c r="B24" s="42"/>
      <c r="C24" s="42"/>
      <c r="D24" s="42"/>
      <c r="E24" s="42"/>
      <c r="F24" s="42"/>
      <c r="I24" s="44"/>
      <c r="J24" s="44"/>
      <c r="K24" s="44"/>
      <c r="L24" s="44"/>
    </row>
    <row r="25" customFormat="false" ht="15" hidden="false" customHeight="true" outlineLevel="0" collapsed="false">
      <c r="B25" s="42"/>
      <c r="C25" s="42"/>
      <c r="D25" s="42"/>
      <c r="E25" s="42"/>
      <c r="F25" s="42"/>
      <c r="I25" s="44"/>
      <c r="J25" s="44"/>
      <c r="K25" s="44"/>
      <c r="L25" s="44"/>
    </row>
    <row r="26" customFormat="false" ht="15" hidden="false" customHeight="true" outlineLevel="0" collapsed="false">
      <c r="B26" s="42"/>
      <c r="C26" s="42"/>
      <c r="D26" s="42"/>
      <c r="E26" s="42"/>
      <c r="F26" s="42"/>
      <c r="I26" s="44"/>
      <c r="J26" s="44"/>
      <c r="K26" s="44"/>
      <c r="L26" s="44"/>
    </row>
  </sheetData>
  <mergeCells count="7">
    <mergeCell ref="A1:L1"/>
    <mergeCell ref="A2:L2"/>
    <mergeCell ref="B4:F4"/>
    <mergeCell ref="I4:L4"/>
    <mergeCell ref="B19:F26"/>
    <mergeCell ref="K19:L19"/>
    <mergeCell ref="I21:L26"/>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&amp;LIB Excel Dojo</oddHeader>
    <oddFooter>&amp;RPage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P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7" min="3" style="1" width="14"/>
    <col collapsed="false" customWidth="true" hidden="false" outlineLevel="0" max="8" min="8" style="1" width="16"/>
    <col collapsed="false" customWidth="true" hidden="false" outlineLevel="0" max="9" min="9" style="1" width="18"/>
    <col collapsed="false" customWidth="true" hidden="false" outlineLevel="0" max="10" min="10" style="1" width="16"/>
    <col collapsed="false" customWidth="true" hidden="false" outlineLevel="0" max="13" min="11" style="1" width="14"/>
    <col collapsed="false" customWidth="true" hidden="false" outlineLevel="0" max="14" min="14" style="1" width="3"/>
    <col collapsed="false" customWidth="true" hidden="false" outlineLevel="0" max="15" min="15" style="1" width="18"/>
    <col collapsed="false" customWidth="true" hidden="false" outlineLevel="0" max="16" min="16" style="1" width="42"/>
  </cols>
  <sheetData>
    <row r="1" customFormat="false" ht="27.75" hidden="false" customHeight="true" outlineLevel="0" collapsed="false">
      <c r="A1" s="2" t="s">
        <v>335</v>
      </c>
      <c r="B1" s="2"/>
      <c r="C1" s="2"/>
      <c r="D1" s="2"/>
      <c r="E1" s="2"/>
      <c r="F1" s="2"/>
      <c r="G1" s="2"/>
      <c r="H1" s="2"/>
      <c r="I1" s="2"/>
      <c r="J1" s="2"/>
      <c r="K1" s="2"/>
      <c r="L1" s="2"/>
      <c r="M1" s="2"/>
      <c r="N1" s="2"/>
    </row>
    <row r="2" customFormat="false" ht="18" hidden="false" customHeight="true" outlineLevel="0" collapsed="false">
      <c r="A2" s="3" t="s">
        <v>336</v>
      </c>
      <c r="B2" s="3"/>
      <c r="C2" s="3"/>
      <c r="D2" s="3"/>
      <c r="E2" s="3"/>
      <c r="F2" s="3"/>
      <c r="G2" s="3"/>
      <c r="H2" s="3"/>
      <c r="I2" s="3"/>
      <c r="J2" s="3"/>
      <c r="K2" s="3"/>
      <c r="L2" s="3"/>
      <c r="M2" s="3"/>
      <c r="N2" s="3"/>
    </row>
    <row r="4" customFormat="false" ht="18" hidden="false" customHeight="true" outlineLevel="0" collapsed="false">
      <c r="B4" s="5" t="s">
        <v>337</v>
      </c>
      <c r="C4" s="5"/>
      <c r="D4" s="5"/>
      <c r="E4" s="5"/>
      <c r="F4" s="5"/>
      <c r="G4" s="5"/>
      <c r="H4" s="5"/>
    </row>
    <row r="5" customFormat="false" ht="15" hidden="false" customHeight="true" outlineLevel="0" collapsed="false">
      <c r="B5" s="6" t="s">
        <v>338</v>
      </c>
      <c r="C5" s="6" t="s">
        <v>339</v>
      </c>
      <c r="D5" s="6" t="s">
        <v>340</v>
      </c>
      <c r="E5" s="6" t="s">
        <v>341</v>
      </c>
      <c r="F5" s="6" t="s">
        <v>342</v>
      </c>
      <c r="G5" s="6" t="s">
        <v>330</v>
      </c>
      <c r="H5" s="6" t="s">
        <v>343</v>
      </c>
      <c r="I5" s="6" t="s">
        <v>344</v>
      </c>
      <c r="J5" s="45" t="s">
        <v>345</v>
      </c>
    </row>
    <row r="6" customFormat="false" ht="15" hidden="false" customHeight="true" outlineLevel="0" collapsed="false">
      <c r="B6" s="19" t="s">
        <v>346</v>
      </c>
      <c r="C6" s="46" t="s">
        <v>347</v>
      </c>
      <c r="D6" s="46" t="s">
        <v>348</v>
      </c>
      <c r="E6" s="47" t="n">
        <v>980</v>
      </c>
      <c r="F6" s="47" t="n">
        <v>110</v>
      </c>
      <c r="G6" s="47" t="n">
        <v>61.2</v>
      </c>
      <c r="H6" s="47" t="n">
        <v>510</v>
      </c>
      <c r="I6" s="47" t="n">
        <v>460</v>
      </c>
      <c r="J6" s="48" t="n">
        <f aca="false">IF(F6=0,"-",E6/F6)</f>
        <v>8.90909090909091</v>
      </c>
    </row>
    <row r="7" customFormat="false" ht="15" hidden="false" customHeight="true" outlineLevel="0" collapsed="false">
      <c r="B7" s="19" t="s">
        <v>349</v>
      </c>
      <c r="C7" s="46" t="s">
        <v>350</v>
      </c>
      <c r="D7" s="46" t="s">
        <v>348</v>
      </c>
      <c r="E7" s="47" t="n">
        <v>1420</v>
      </c>
      <c r="F7" s="47" t="n">
        <v>155</v>
      </c>
      <c r="G7" s="47" t="n">
        <v>88</v>
      </c>
      <c r="H7" s="47" t="n">
        <v>720</v>
      </c>
      <c r="I7" s="47" t="n">
        <v>680</v>
      </c>
      <c r="J7" s="48" t="n">
        <f aca="false">IF(F7=0,"-",E7/F7)</f>
        <v>9.16129032258065</v>
      </c>
    </row>
    <row r="8" customFormat="false" ht="15" hidden="false" customHeight="true" outlineLevel="0" collapsed="false">
      <c r="B8" s="19" t="s">
        <v>351</v>
      </c>
      <c r="C8" s="46" t="s">
        <v>352</v>
      </c>
      <c r="D8" s="46" t="s">
        <v>353</v>
      </c>
      <c r="E8" s="47" t="n">
        <v>760</v>
      </c>
      <c r="F8" s="47" t="n">
        <v>92</v>
      </c>
      <c r="G8" s="47" t="n">
        <v>41.5</v>
      </c>
      <c r="H8" s="47" t="n">
        <v>390</v>
      </c>
      <c r="I8" s="47" t="n">
        <v>370</v>
      </c>
      <c r="J8" s="48" t="n">
        <f aca="false">IF(F8=0,"-",E8/F8)</f>
        <v>8.26086956521739</v>
      </c>
    </row>
    <row r="9" customFormat="false" ht="15" hidden="false" customHeight="true" outlineLevel="0" collapsed="false">
      <c r="B9" s="19" t="s">
        <v>354</v>
      </c>
      <c r="C9" s="46" t="s">
        <v>355</v>
      </c>
      <c r="D9" s="46" t="s">
        <v>348</v>
      </c>
      <c r="E9" s="47" t="n">
        <v>2105</v>
      </c>
      <c r="F9" s="47" t="n">
        <v>240</v>
      </c>
      <c r="G9" s="47" t="n">
        <v>130.4</v>
      </c>
      <c r="H9" s="47" t="n">
        <v>980</v>
      </c>
      <c r="I9" s="47" t="n">
        <v>910</v>
      </c>
      <c r="J9" s="48" t="n">
        <f aca="false">IF(F9=0,"-",E9/F9)</f>
        <v>8.77083333333333</v>
      </c>
    </row>
    <row r="10" customFormat="false" ht="15" hidden="false" customHeight="true" outlineLevel="0" collapsed="false">
      <c r="B10" s="19" t="s">
        <v>356</v>
      </c>
      <c r="C10" s="46" t="s">
        <v>357</v>
      </c>
      <c r="D10" s="46" t="s">
        <v>348</v>
      </c>
      <c r="E10" s="47" t="n">
        <v>540</v>
      </c>
      <c r="F10" s="47" t="n">
        <v>61</v>
      </c>
      <c r="G10" s="47" t="n">
        <v>22</v>
      </c>
      <c r="H10" s="47" t="n">
        <v>250</v>
      </c>
      <c r="I10" s="47" t="n">
        <v>240</v>
      </c>
      <c r="J10" s="48" t="n">
        <f aca="false">IF(F10=0,"-",E10/F10)</f>
        <v>8.85245901639344</v>
      </c>
    </row>
    <row r="11" customFormat="false" ht="15" hidden="false" customHeight="true" outlineLevel="0" collapsed="false">
      <c r="B11" s="19" t="s">
        <v>358</v>
      </c>
      <c r="C11" s="46" t="s">
        <v>359</v>
      </c>
      <c r="D11" s="46" t="s">
        <v>353</v>
      </c>
      <c r="E11" s="47" t="n">
        <v>1180</v>
      </c>
      <c r="F11" s="47" t="n">
        <v>150</v>
      </c>
      <c r="G11" s="47" t="n">
        <v>70.1</v>
      </c>
      <c r="H11" s="47" t="n">
        <v>640</v>
      </c>
      <c r="I11" s="47" t="n">
        <v>600</v>
      </c>
      <c r="J11" s="48" t="n">
        <f aca="false">IF(F11=0,"-",E11/F11)</f>
        <v>7.86666666666667</v>
      </c>
    </row>
    <row r="13" customFormat="false" ht="15" hidden="false" customHeight="true" outlineLevel="0" collapsed="false">
      <c r="B13" s="11" t="s">
        <v>360</v>
      </c>
      <c r="C13" s="49" t="s">
        <v>361</v>
      </c>
      <c r="D13" s="49" t="s">
        <v>362</v>
      </c>
      <c r="E13" s="49" t="s">
        <v>363</v>
      </c>
      <c r="F13" s="49" t="s">
        <v>364</v>
      </c>
      <c r="G13" s="49" t="s">
        <v>365</v>
      </c>
      <c r="H13" s="49" t="s">
        <v>366</v>
      </c>
    </row>
    <row r="14" customFormat="false" ht="15" hidden="false" customHeight="true" outlineLevel="0" collapsed="false">
      <c r="B14" s="1" t="s">
        <v>367</v>
      </c>
      <c r="C14" s="50" t="n">
        <v>-250</v>
      </c>
      <c r="D14" s="50" t="n">
        <v>40</v>
      </c>
      <c r="E14" s="50" t="n">
        <v>55</v>
      </c>
      <c r="F14" s="50" t="n">
        <v>70</v>
      </c>
      <c r="G14" s="50" t="n">
        <v>80</v>
      </c>
      <c r="H14" s="50" t="n">
        <v>120</v>
      </c>
    </row>
    <row r="15" customFormat="false" ht="15" hidden="false" customHeight="true" outlineLevel="0" collapsed="false">
      <c r="B15" s="1" t="s">
        <v>368</v>
      </c>
      <c r="C15" s="51" t="n">
        <v>0.1</v>
      </c>
    </row>
    <row r="17" customFormat="false" ht="18" hidden="false" customHeight="true" outlineLevel="0" collapsed="false">
      <c r="B17" s="5" t="s">
        <v>369</v>
      </c>
      <c r="C17" s="5"/>
      <c r="D17" s="5"/>
      <c r="E17" s="5"/>
      <c r="F17" s="5"/>
      <c r="G17" s="5"/>
      <c r="H17" s="5"/>
      <c r="I17" s="5"/>
      <c r="J17" s="5"/>
      <c r="K17" s="5"/>
      <c r="L17" s="5"/>
    </row>
    <row r="18" customFormat="false" ht="15" hidden="false" customHeight="true" outlineLevel="0" collapsed="false">
      <c r="B18" s="6" t="s">
        <v>4</v>
      </c>
      <c r="C18" s="6" t="s">
        <v>370</v>
      </c>
      <c r="D18" s="52" t="s">
        <v>371</v>
      </c>
      <c r="E18" s="52"/>
      <c r="F18" s="52"/>
      <c r="G18" s="52"/>
      <c r="H18" s="6" t="s">
        <v>372</v>
      </c>
      <c r="I18" s="6" t="s">
        <v>373</v>
      </c>
      <c r="J18" s="6" t="s">
        <v>374</v>
      </c>
      <c r="K18" s="52" t="s">
        <v>375</v>
      </c>
      <c r="L18" s="52"/>
      <c r="O18" s="53" t="s">
        <v>376</v>
      </c>
      <c r="P18" s="53" t="s">
        <v>377</v>
      </c>
    </row>
    <row r="19" customFormat="false" ht="21.75" hidden="false" customHeight="true" outlineLevel="0" collapsed="false">
      <c r="B19" s="49" t="s">
        <v>378</v>
      </c>
      <c r="C19" s="54" t="s">
        <v>379</v>
      </c>
      <c r="D19" s="4" t="s">
        <v>380</v>
      </c>
      <c r="E19" s="4"/>
      <c r="F19" s="4"/>
      <c r="G19" s="4"/>
      <c r="H19" s="55"/>
      <c r="I19" s="46" t="str">
        <f aca="false">IF(H19="","—",IF(OR(ABS(N(H19)-N(O19))&lt;0.05,H19=O19),"OK","TRY AGAIN"))</f>
        <v>—</v>
      </c>
      <c r="K19" s="18" t="s">
        <v>381</v>
      </c>
      <c r="L19" s="18"/>
      <c r="O19" s="56" t="n">
        <f aca="false">INDEX($E$6:$E$11,MATCH("HLX",$C$6:$C$11,0))</f>
        <v>2105</v>
      </c>
      <c r="P19" s="57" t="s">
        <v>382</v>
      </c>
    </row>
    <row r="20" customFormat="false" ht="21.75" hidden="false" customHeight="true" outlineLevel="0" collapsed="false">
      <c r="B20" s="49" t="s">
        <v>383</v>
      </c>
      <c r="C20" s="54" t="s">
        <v>379</v>
      </c>
      <c r="D20" s="4" t="s">
        <v>384</v>
      </c>
      <c r="E20" s="4"/>
      <c r="F20" s="4"/>
      <c r="G20" s="4"/>
      <c r="H20" s="58"/>
      <c r="I20" s="46" t="str">
        <f aca="false">IF(H20="","—",IF(OR(ABS(N(H20)-N(O20))&lt;0.05,H20=O20),"OK","TRY AGAIN"))</f>
        <v>—</v>
      </c>
      <c r="K20" s="18" t="s">
        <v>385</v>
      </c>
      <c r="L20" s="18"/>
      <c r="O20" s="59" t="str">
        <f aca="false">INDEX($D$6:$D$11,MATCH("Pinnacle Tools",$B$6:$B$11,0))</f>
        <v>Industrials</v>
      </c>
      <c r="P20" s="57" t="s">
        <v>382</v>
      </c>
    </row>
    <row r="21" customFormat="false" ht="21.75" hidden="false" customHeight="true" outlineLevel="0" collapsed="false">
      <c r="B21" s="49" t="s">
        <v>386</v>
      </c>
      <c r="C21" s="54" t="s">
        <v>387</v>
      </c>
      <c r="D21" s="4" t="s">
        <v>388</v>
      </c>
      <c r="E21" s="4"/>
      <c r="F21" s="4"/>
      <c r="G21" s="4"/>
      <c r="H21" s="55"/>
      <c r="I21" s="46" t="str">
        <f aca="false">IF(H21="","—",IF(OR(ABS(N(H21)-N(O21))&lt;0.05,H21=O21),"OK","TRY AGAIN"))</f>
        <v>—</v>
      </c>
      <c r="K21" s="18" t="s">
        <v>389</v>
      </c>
      <c r="L21" s="18"/>
      <c r="O21" s="56" t="n">
        <f aca="false">INDEX($E$6:$E$11,MATCH("Cedar Forge",$B$6:$B$11,0))</f>
        <v>760</v>
      </c>
      <c r="P21" s="57" t="s">
        <v>382</v>
      </c>
    </row>
    <row r="22" customFormat="false" ht="21.75" hidden="false" customHeight="true" outlineLevel="0" collapsed="false">
      <c r="B22" s="49" t="s">
        <v>390</v>
      </c>
      <c r="C22" s="54" t="s">
        <v>391</v>
      </c>
      <c r="D22" s="4" t="s">
        <v>392</v>
      </c>
      <c r="E22" s="4"/>
      <c r="F22" s="4"/>
      <c r="G22" s="4"/>
      <c r="H22" s="55"/>
      <c r="I22" s="46" t="str">
        <f aca="false">IF(H22="","—",IF(OR(ABS(N(H22)-N(O22))&lt;0.05,H22=O22),"OK","TRY AGAIN"))</f>
        <v>—</v>
      </c>
      <c r="K22" s="18" t="s">
        <v>393</v>
      </c>
      <c r="L22" s="18"/>
      <c r="O22" s="56" t="n">
        <f aca="false">SUMIFS($E$6:$E$11,$D$6:$D$11,"Industrials")</f>
        <v>5045</v>
      </c>
      <c r="P22" s="57" t="s">
        <v>382</v>
      </c>
    </row>
    <row r="23" customFormat="false" ht="21.75" hidden="false" customHeight="true" outlineLevel="0" collapsed="false">
      <c r="B23" s="49" t="s">
        <v>394</v>
      </c>
      <c r="C23" s="54" t="s">
        <v>395</v>
      </c>
      <c r="D23" s="4" t="s">
        <v>396</v>
      </c>
      <c r="E23" s="4"/>
      <c r="F23" s="4"/>
      <c r="G23" s="4"/>
      <c r="H23" s="60"/>
      <c r="I23" s="46" t="str">
        <f aca="false">IF(H23="","—",IF(OR(ABS(N(H23)-N(O23))&lt;0.05,H23=O23),"OK","TRY AGAIN"))</f>
        <v>—</v>
      </c>
      <c r="K23" s="18" t="s">
        <v>397</v>
      </c>
      <c r="L23" s="18"/>
      <c r="O23" s="61" t="n">
        <f aca="false">COUNTIFS($D$6:$D$11,"Industrials")</f>
        <v>4</v>
      </c>
      <c r="P23" s="57" t="s">
        <v>382</v>
      </c>
    </row>
    <row r="24" customFormat="false" ht="21.75" hidden="false" customHeight="true" outlineLevel="0" collapsed="false">
      <c r="B24" s="49" t="s">
        <v>398</v>
      </c>
      <c r="C24" s="54" t="s">
        <v>399</v>
      </c>
      <c r="D24" s="4" t="s">
        <v>400</v>
      </c>
      <c r="E24" s="4"/>
      <c r="F24" s="4"/>
      <c r="G24" s="4"/>
      <c r="H24" s="55"/>
      <c r="I24" s="46" t="str">
        <f aca="false">IF(H24="","—",IF(OR(ABS(N(H24)-N(O24))&lt;0.05,H24=O24),"OK","TRY AGAIN"))</f>
        <v>—</v>
      </c>
      <c r="K24" s="18" t="s">
        <v>401</v>
      </c>
      <c r="L24" s="18"/>
      <c r="O24" s="56" t="n">
        <f aca="false">AVERAGEIFS($F$6:$F$11,$D$6:$D$11,"Industrials")</f>
        <v>141.5</v>
      </c>
      <c r="P24" s="57" t="s">
        <v>382</v>
      </c>
    </row>
    <row r="25" customFormat="false" ht="21.75" hidden="false" customHeight="true" outlineLevel="0" collapsed="false">
      <c r="B25" s="49" t="s">
        <v>402</v>
      </c>
      <c r="C25" s="54" t="s">
        <v>403</v>
      </c>
      <c r="D25" s="4" t="s">
        <v>404</v>
      </c>
      <c r="E25" s="4"/>
      <c r="F25" s="4"/>
      <c r="G25" s="4"/>
      <c r="H25" s="62"/>
      <c r="I25" s="46" t="str">
        <f aca="false">IF(H25="","—",IF(OR(ABS(N(H25)-N(O25))&lt;0.05,H25=O25),"OK","TRY AGAIN"))</f>
        <v>—</v>
      </c>
      <c r="K25" s="18" t="s">
        <v>405</v>
      </c>
      <c r="L25" s="18"/>
      <c r="O25" s="63" t="n">
        <f aca="false">INDEX($E$6:$E$11,MATCH("APX",$C$6:$C$11,0))/INDEX($F$6:$F$11,MATCH("APX",$C$6:$C$11,0))</f>
        <v>8.90909090909091</v>
      </c>
      <c r="P25" s="57" t="s">
        <v>382</v>
      </c>
    </row>
    <row r="26" customFormat="false" ht="21.75" hidden="false" customHeight="true" outlineLevel="0" collapsed="false">
      <c r="B26" s="49" t="s">
        <v>406</v>
      </c>
      <c r="C26" s="54" t="s">
        <v>407</v>
      </c>
      <c r="D26" s="4" t="s">
        <v>408</v>
      </c>
      <c r="E26" s="4"/>
      <c r="F26" s="4"/>
      <c r="G26" s="4"/>
      <c r="H26" s="64"/>
      <c r="I26" s="46" t="str">
        <f aca="false">IF(H26="","—",IF(OR(ABS(N(H26)-N(O26))&lt;0.05,H26=O26),"OK","TRY AGAIN"))</f>
        <v>—</v>
      </c>
      <c r="K26" s="18" t="s">
        <v>409</v>
      </c>
      <c r="L26" s="18"/>
      <c r="O26" s="65" t="n">
        <f aca="false">INDEX($H$6:$H$11,MATCH("APX",$C$6:$C$11,0))/INDEX($I$6:$I$11,MATCH("APX",$C$6:$C$11,0))-1</f>
        <v>0.108695652173913</v>
      </c>
      <c r="P26" s="57" t="s">
        <v>382</v>
      </c>
    </row>
    <row r="27" customFormat="false" ht="21.75" hidden="false" customHeight="true" outlineLevel="0" collapsed="false">
      <c r="B27" s="49" t="s">
        <v>410</v>
      </c>
      <c r="C27" s="54" t="s">
        <v>411</v>
      </c>
      <c r="D27" s="4" t="s">
        <v>412</v>
      </c>
      <c r="E27" s="4"/>
      <c r="F27" s="4"/>
      <c r="G27" s="4"/>
      <c r="H27" s="60"/>
      <c r="I27" s="46" t="str">
        <f aca="false">IF(H27="","—",IF(OR(ABS(N(H27)-N(O27))&lt;0.05,H27=O27),"OK","TRY AGAIN"))</f>
        <v>—</v>
      </c>
      <c r="K27" s="18" t="s">
        <v>413</v>
      </c>
      <c r="L27" s="18"/>
      <c r="O27" s="61" t="n">
        <f aca="false">IF(INDEX($E$6:$E$11,MATCH("HLX",$C$6:$C$11,0))&gt;1500,1,0)</f>
        <v>1</v>
      </c>
      <c r="P27" s="57" t="s">
        <v>382</v>
      </c>
    </row>
    <row r="28" customFormat="false" ht="21.75" hidden="false" customHeight="true" outlineLevel="0" collapsed="false">
      <c r="B28" s="49" t="s">
        <v>414</v>
      </c>
      <c r="C28" s="54" t="s">
        <v>415</v>
      </c>
      <c r="D28" s="4" t="s">
        <v>416</v>
      </c>
      <c r="E28" s="4"/>
      <c r="F28" s="4"/>
      <c r="G28" s="4"/>
      <c r="H28" s="58"/>
      <c r="I28" s="46" t="str">
        <f aca="false">IF(H28="","—",IF(OR(ABS(N(H28)-N(O28))&lt;0.05,H28=O28),"OK","TRY AGAIN"))</f>
        <v>—</v>
      </c>
      <c r="K28" s="18" t="s">
        <v>417</v>
      </c>
      <c r="L28" s="18"/>
      <c r="O28" s="59" t="str">
        <f aca="false">IFERROR(1/0,"-")</f>
        <v>-</v>
      </c>
      <c r="P28" s="57" t="s">
        <v>382</v>
      </c>
    </row>
    <row r="29" customFormat="false" ht="21.75" hidden="false" customHeight="true" outlineLevel="0" collapsed="false">
      <c r="B29" s="49" t="s">
        <v>418</v>
      </c>
      <c r="C29" s="54" t="s">
        <v>419</v>
      </c>
      <c r="D29" s="4" t="s">
        <v>420</v>
      </c>
      <c r="E29" s="4"/>
      <c r="F29" s="4"/>
      <c r="G29" s="4"/>
      <c r="H29" s="55"/>
      <c r="I29" s="46" t="str">
        <f aca="false">IF(H29="","—",IF(OR(ABS(N(H29)-N(O29))&lt;0.05,H29=O29),"OK","TRY AGAIN"))</f>
        <v>—</v>
      </c>
      <c r="K29" s="18" t="s">
        <v>421</v>
      </c>
      <c r="L29" s="18"/>
      <c r="O29" s="56" t="n">
        <f aca="false">MAX($E$6:$E$11)</f>
        <v>2105</v>
      </c>
      <c r="P29" s="57" t="s">
        <v>382</v>
      </c>
    </row>
    <row r="30" customFormat="false" ht="21.75" hidden="false" customHeight="true" outlineLevel="0" collapsed="false">
      <c r="B30" s="49" t="s">
        <v>422</v>
      </c>
      <c r="C30" s="54" t="s">
        <v>423</v>
      </c>
      <c r="D30" s="4" t="s">
        <v>424</v>
      </c>
      <c r="E30" s="4"/>
      <c r="F30" s="4"/>
      <c r="G30" s="4"/>
      <c r="H30" s="55"/>
      <c r="I30" s="46" t="str">
        <f aca="false">IF(H30="","—",IF(OR(ABS(N(H30)-N(O30))&lt;0.05,H30=O30),"OK","TRY AGAIN"))</f>
        <v>—</v>
      </c>
      <c r="K30" s="18" t="s">
        <v>425</v>
      </c>
      <c r="L30" s="18"/>
      <c r="O30" s="56" t="n">
        <f aca="false">LARGE($F$6:$F$11,2)</f>
        <v>155</v>
      </c>
      <c r="P30" s="57" t="s">
        <v>382</v>
      </c>
    </row>
    <row r="31" customFormat="false" ht="21.75" hidden="false" customHeight="true" outlineLevel="0" collapsed="false">
      <c r="B31" s="49" t="s">
        <v>426</v>
      </c>
      <c r="C31" s="54" t="s">
        <v>427</v>
      </c>
      <c r="D31" s="4" t="s">
        <v>428</v>
      </c>
      <c r="E31" s="4"/>
      <c r="F31" s="4"/>
      <c r="G31" s="4"/>
      <c r="H31" s="62"/>
      <c r="I31" s="46" t="str">
        <f aca="false">IF(H31="","—",IF(OR(ABS(N(H31)-N(O31))&lt;0.05,H31=O31),"OK","TRY AGAIN"))</f>
        <v>—</v>
      </c>
      <c r="K31" s="18" t="s">
        <v>429</v>
      </c>
      <c r="L31" s="18"/>
      <c r="O31" s="66" t="n">
        <f aca="false">MEDIAN($J$6:$J$11)</f>
        <v>8.81164617486339</v>
      </c>
      <c r="P31" s="57" t="s">
        <v>382</v>
      </c>
    </row>
    <row r="32" customFormat="false" ht="21.75" hidden="false" customHeight="true" outlineLevel="0" collapsed="false">
      <c r="B32" s="49" t="s">
        <v>430</v>
      </c>
      <c r="C32" s="54" t="s">
        <v>431</v>
      </c>
      <c r="D32" s="4" t="s">
        <v>432</v>
      </c>
      <c r="E32" s="4"/>
      <c r="F32" s="4"/>
      <c r="G32" s="4"/>
      <c r="H32" s="55"/>
      <c r="I32" s="46" t="str">
        <f aca="false">IF(H32="","—",IF(OR(ABS(N(H32)-N(O32))&lt;0.05,H32=O32),"OK","TRY AGAIN"))</f>
        <v>—</v>
      </c>
      <c r="K32" s="18" t="s">
        <v>433</v>
      </c>
      <c r="L32" s="18"/>
      <c r="O32" s="56" t="n">
        <f aca="false">C14+NPV(C15,D14:H14)</f>
        <v>13.5618530775965</v>
      </c>
      <c r="P32" s="57" t="s">
        <v>382</v>
      </c>
    </row>
    <row r="33" customFormat="false" ht="21.75" hidden="false" customHeight="true" outlineLevel="0" collapsed="false">
      <c r="B33" s="49" t="s">
        <v>434</v>
      </c>
      <c r="C33" s="54" t="s">
        <v>435</v>
      </c>
      <c r="D33" s="4" t="s">
        <v>436</v>
      </c>
      <c r="E33" s="4"/>
      <c r="F33" s="4"/>
      <c r="G33" s="4"/>
      <c r="H33" s="64"/>
      <c r="I33" s="46" t="str">
        <f aca="false">IF(H33="","—",IF(OR(ABS(N(H33)-N(O33))&lt;0.05,H33=O33),"OK","TRY AGAIN"))</f>
        <v>—</v>
      </c>
      <c r="K33" s="18" t="s">
        <v>437</v>
      </c>
      <c r="L33" s="18"/>
      <c r="O33" s="65" t="n">
        <f aca="false">IRR(C14:H14)</f>
        <v>0.117703859790861</v>
      </c>
      <c r="P33" s="57" t="s">
        <v>382</v>
      </c>
    </row>
    <row r="34" customFormat="false" ht="21.75" hidden="false" customHeight="true" outlineLevel="0" collapsed="false">
      <c r="B34" s="49" t="s">
        <v>438</v>
      </c>
      <c r="C34" s="54" t="s">
        <v>439</v>
      </c>
      <c r="D34" s="4" t="s">
        <v>440</v>
      </c>
      <c r="E34" s="4"/>
      <c r="F34" s="4"/>
      <c r="G34" s="4"/>
      <c r="H34" s="60"/>
      <c r="I34" s="46" t="str">
        <f aca="false">IF(H34="","—",IF(OR(ABS(N(H34)-N(O34))&lt;0.05,H34=O34),"OK","TRY AGAIN"))</f>
        <v>—</v>
      </c>
      <c r="K34" s="18" t="s">
        <v>441</v>
      </c>
      <c r="L34" s="18"/>
      <c r="O34" s="61" t="n">
        <f aca="false">IF(IRR(C14:H14)&gt;$C$15,1,0)</f>
        <v>1</v>
      </c>
      <c r="P34" s="57" t="s">
        <v>382</v>
      </c>
    </row>
    <row r="35" customFormat="false" ht="21.75" hidden="false" customHeight="true" outlineLevel="0" collapsed="false">
      <c r="B35" s="49" t="s">
        <v>442</v>
      </c>
      <c r="C35" s="54" t="s">
        <v>443</v>
      </c>
      <c r="D35" s="4" t="s">
        <v>444</v>
      </c>
      <c r="E35" s="4"/>
      <c r="F35" s="4"/>
      <c r="G35" s="4"/>
      <c r="H35" s="64"/>
      <c r="I35" s="46" t="str">
        <f aca="false">IF(H35="","—",IF(OR(ABS(N(H35)-N(O35))&lt;0.05,H35=O35),"OK","TRY AGAIN"))</f>
        <v>—</v>
      </c>
      <c r="K35" s="18" t="s">
        <v>445</v>
      </c>
      <c r="L35" s="18"/>
      <c r="O35" s="65" t="n">
        <f aca="false">SUMPRODUCT($F$6:$F$11/$H$6:$H$11,$E$6:$E$11)/SUM($E$6:$E$11)</f>
        <v>0.231951574635324</v>
      </c>
      <c r="P35" s="57" t="s">
        <v>382</v>
      </c>
    </row>
    <row r="36" customFormat="false" ht="21.75" hidden="false" customHeight="true" outlineLevel="0" collapsed="false">
      <c r="B36" s="49" t="s">
        <v>446</v>
      </c>
      <c r="C36" s="54" t="s">
        <v>447</v>
      </c>
      <c r="D36" s="4" t="s">
        <v>448</v>
      </c>
      <c r="E36" s="4"/>
      <c r="F36" s="4"/>
      <c r="G36" s="4"/>
      <c r="H36" s="58"/>
      <c r="I36" s="46" t="str">
        <f aca="false">IF(H36="","—",IF(OR(ABS(N(H36)-N(O36))&lt;0.05,H36=O36),"OK","TRY AGAIN"))</f>
        <v>—</v>
      </c>
      <c r="K36" s="18" t="s">
        <v>449</v>
      </c>
      <c r="L36" s="18"/>
      <c r="O36" s="59" t="str">
        <f aca="false">"APX trades at "&amp;TEXT(INDEX($E$6:$E$11,MATCH("APX",$C$6:$C$11,0))/INDEX($F$6:$F$11,MATCH("APX",$C$6:$C$11,0)),"0.0")&amp;"x EBITDA"</f>
        <v>APX trades at 8.9x EBITDA</v>
      </c>
      <c r="P36" s="57" t="s">
        <v>382</v>
      </c>
    </row>
    <row r="37" customFormat="false" ht="21.75" hidden="false" customHeight="true" outlineLevel="0" collapsed="false">
      <c r="B37" s="49" t="s">
        <v>450</v>
      </c>
      <c r="C37" s="54" t="s">
        <v>451</v>
      </c>
      <c r="D37" s="4" t="s">
        <v>452</v>
      </c>
      <c r="E37" s="4"/>
      <c r="F37" s="4"/>
      <c r="G37" s="4"/>
      <c r="H37" s="55"/>
      <c r="I37" s="46" t="str">
        <f aca="false">IF(H37="","—",IF(OR(ABS(N(H37)-N(O37))&lt;0.05,H37=O37),"OK","TRY AGAIN"))</f>
        <v>—</v>
      </c>
      <c r="K37" s="18" t="s">
        <v>453</v>
      </c>
      <c r="L37" s="18"/>
      <c r="O37" s="56" t="n">
        <f aca="false">ABS(INDEX($E$6:$E$11,MATCH("NLM",$C$6:$C$11,0))-INDEX($E$6:$E$11,MATCH("APX",$C$6:$C$11,0)))</f>
        <v>440</v>
      </c>
      <c r="P37" s="57" t="s">
        <v>382</v>
      </c>
    </row>
    <row r="38" customFormat="false" ht="21.75" hidden="false" customHeight="true" outlineLevel="0" collapsed="false">
      <c r="B38" s="49" t="s">
        <v>454</v>
      </c>
      <c r="C38" s="54" t="s">
        <v>455</v>
      </c>
      <c r="D38" s="4" t="s">
        <v>456</v>
      </c>
      <c r="E38" s="4"/>
      <c r="F38" s="4"/>
      <c r="G38" s="4"/>
      <c r="H38" s="62"/>
      <c r="I38" s="46" t="str">
        <f aca="false">IF(H38="","—",IF(OR(ABS(N(H38)-N(O38))&lt;0.05,H38=O38),"OK","TRY AGAIN"))</f>
        <v>—</v>
      </c>
      <c r="K38" s="18" t="s">
        <v>457</v>
      </c>
      <c r="L38" s="18"/>
      <c r="O38" s="63" t="n">
        <f aca="false">(INDEX($E$6:$E$11,MATCH("RVB",$C$6:$C$11,0))-180)/INDEX($G$6:$G$11,MATCH("RVB",$C$6:$C$11,0))</f>
        <v>14.265335235378</v>
      </c>
      <c r="P38" s="57" t="s">
        <v>382</v>
      </c>
    </row>
    <row r="40" customFormat="false" ht="15" hidden="false" customHeight="true" outlineLevel="0" collapsed="false">
      <c r="B40" s="28" t="s">
        <v>458</v>
      </c>
      <c r="C40" s="28"/>
      <c r="D40" s="28"/>
      <c r="E40" s="28"/>
      <c r="F40" s="28"/>
      <c r="G40" s="28"/>
      <c r="H40" s="28"/>
      <c r="I40" s="28"/>
      <c r="J40" s="28"/>
      <c r="K40" s="28"/>
      <c r="L40" s="28"/>
    </row>
    <row r="41" customFormat="false" ht="15" hidden="false" customHeight="true" outlineLevel="0" collapsed="false">
      <c r="B41" s="28"/>
      <c r="C41" s="28"/>
      <c r="D41" s="28"/>
      <c r="E41" s="28"/>
      <c r="F41" s="28"/>
      <c r="G41" s="28"/>
      <c r="H41" s="28"/>
      <c r="I41" s="28"/>
      <c r="J41" s="28"/>
      <c r="K41" s="28"/>
      <c r="L41" s="28"/>
    </row>
    <row r="42" customFormat="false" ht="15" hidden="false" customHeight="true" outlineLevel="0" collapsed="false">
      <c r="B42" s="28"/>
      <c r="C42" s="28"/>
      <c r="D42" s="28"/>
      <c r="E42" s="28"/>
      <c r="F42" s="28"/>
      <c r="G42" s="28"/>
      <c r="H42" s="28"/>
      <c r="I42" s="28"/>
      <c r="J42" s="28"/>
      <c r="K42" s="28"/>
      <c r="L42" s="28"/>
    </row>
  </sheetData>
  <mergeCells count="47">
    <mergeCell ref="A1:N1"/>
    <mergeCell ref="A2:N2"/>
    <mergeCell ref="B4:H4"/>
    <mergeCell ref="B17:L17"/>
    <mergeCell ref="D18:G18"/>
    <mergeCell ref="K18:L18"/>
    <mergeCell ref="D19:G19"/>
    <mergeCell ref="K19:L19"/>
    <mergeCell ref="D20:G20"/>
    <mergeCell ref="K20:L20"/>
    <mergeCell ref="D21:G21"/>
    <mergeCell ref="K21:L21"/>
    <mergeCell ref="D22:G22"/>
    <mergeCell ref="K22:L22"/>
    <mergeCell ref="D23:G23"/>
    <mergeCell ref="K23:L23"/>
    <mergeCell ref="D24:G24"/>
    <mergeCell ref="K24:L24"/>
    <mergeCell ref="D25:G25"/>
    <mergeCell ref="K25:L25"/>
    <mergeCell ref="D26:G26"/>
    <mergeCell ref="K26:L26"/>
    <mergeCell ref="D27:G27"/>
    <mergeCell ref="K27:L27"/>
    <mergeCell ref="D28:G28"/>
    <mergeCell ref="K28:L28"/>
    <mergeCell ref="D29:G29"/>
    <mergeCell ref="K29:L29"/>
    <mergeCell ref="D30:G30"/>
    <mergeCell ref="K30:L30"/>
    <mergeCell ref="D31:G31"/>
    <mergeCell ref="K31:L31"/>
    <mergeCell ref="D32:G32"/>
    <mergeCell ref="K32:L32"/>
    <mergeCell ref="D33:G33"/>
    <mergeCell ref="K33:L33"/>
    <mergeCell ref="D34:G34"/>
    <mergeCell ref="K34:L34"/>
    <mergeCell ref="D35:G35"/>
    <mergeCell ref="K35:L35"/>
    <mergeCell ref="D36:G36"/>
    <mergeCell ref="K36:L36"/>
    <mergeCell ref="D37:G37"/>
    <mergeCell ref="K37:L37"/>
    <mergeCell ref="D38:G38"/>
    <mergeCell ref="K38:L38"/>
    <mergeCell ref="B40:L42"/>
  </mergeCells>
  <conditionalFormatting sqref="I19:I38">
    <cfRule type="expression" priority="2" aboveAverage="0" equalAverage="0" bottom="0" percent="0" rank="0" text="" dxfId="11">
      <formula>I19="OK"</formula>
    </cfRule>
    <cfRule type="expression" priority="3" aboveAverage="0" equalAverage="0" bottom="0" percent="0" rank="0" text="" dxfId="12">
      <formula>I19="TRY AGAIN"</formula>
    </cfRule>
  </conditionalFormatting>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&amp;LIB Excel Dojo</oddHeader>
    <oddFooter>&amp;RPage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J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6"/>
    <col collapsed="false" customWidth="true" hidden="false" outlineLevel="0" max="9" min="4" style="1" width="12"/>
    <col collapsed="false" customWidth="true" hidden="false" outlineLevel="0" max="10" min="10" style="1" width="28"/>
  </cols>
  <sheetData>
    <row r="1" customFormat="false" ht="27.75" hidden="false" customHeight="true" outlineLevel="0" collapsed="false">
      <c r="A1" s="2" t="s">
        <v>459</v>
      </c>
      <c r="B1" s="2"/>
      <c r="C1" s="2"/>
      <c r="D1" s="2"/>
      <c r="E1" s="2"/>
      <c r="F1" s="2"/>
      <c r="G1" s="2"/>
      <c r="H1" s="2"/>
      <c r="I1" s="2"/>
      <c r="J1" s="2"/>
    </row>
    <row r="2" customFormat="false" ht="18" hidden="false" customHeight="true" outlineLevel="0" collapsed="false">
      <c r="A2" s="3" t="s">
        <v>460</v>
      </c>
      <c r="B2" s="3"/>
      <c r="C2" s="3"/>
      <c r="D2" s="3"/>
      <c r="E2" s="3"/>
      <c r="F2" s="3"/>
      <c r="G2" s="3"/>
      <c r="H2" s="3"/>
      <c r="I2" s="3"/>
      <c r="J2" s="3"/>
    </row>
    <row r="4" customFormat="false" ht="15" hidden="false" customHeight="true" outlineLevel="0" collapsed="false">
      <c r="B4" s="11" t="s">
        <v>461</v>
      </c>
      <c r="C4" s="67" t="str">
        <f aca="false">IF(ABS(07_Checks!C6)&lt;0.05,"BALANCES","BREAKS")</f>
        <v>BALANCES</v>
      </c>
      <c r="D4" s="18" t="s">
        <v>462</v>
      </c>
      <c r="E4" s="18"/>
      <c r="F4" s="18"/>
      <c r="G4" s="18"/>
      <c r="H4" s="18"/>
      <c r="I4" s="18"/>
    </row>
    <row r="5" customFormat="false" ht="19.5" hidden="false" customHeight="true" outlineLevel="0" collapsed="false">
      <c r="B5" s="68" t="s">
        <v>463</v>
      </c>
      <c r="C5" s="68" t="s">
        <v>464</v>
      </c>
      <c r="D5" s="33" t="s">
        <v>465</v>
      </c>
      <c r="E5" s="33" t="s">
        <v>466</v>
      </c>
      <c r="F5" s="33" t="s">
        <v>467</v>
      </c>
      <c r="G5" s="33" t="s">
        <v>468</v>
      </c>
      <c r="H5" s="33" t="s">
        <v>469</v>
      </c>
      <c r="I5" s="33" t="s">
        <v>470</v>
      </c>
      <c r="J5" s="68" t="s">
        <v>471</v>
      </c>
    </row>
    <row r="6" customFormat="false" ht="18" hidden="false" customHeight="true" outlineLevel="0" collapsed="false">
      <c r="B6" s="5" t="s">
        <v>472</v>
      </c>
      <c r="C6" s="5"/>
      <c r="D6" s="5"/>
      <c r="E6" s="5"/>
      <c r="F6" s="5"/>
      <c r="G6" s="5"/>
      <c r="H6" s="5"/>
      <c r="I6" s="5"/>
      <c r="J6" s="5"/>
    </row>
    <row r="7" customFormat="false" ht="15" hidden="false" customHeight="true" outlineLevel="0" collapsed="false">
      <c r="B7" s="36" t="s">
        <v>473</v>
      </c>
      <c r="C7" s="57" t="s">
        <v>474</v>
      </c>
      <c r="D7" s="69" t="s">
        <v>475</v>
      </c>
      <c r="E7" s="69" t="s">
        <v>475</v>
      </c>
      <c r="F7" s="69" t="s">
        <v>475</v>
      </c>
      <c r="G7" s="43" t="n">
        <v>0.08</v>
      </c>
      <c r="H7" s="43" t="n">
        <v>0.07</v>
      </c>
      <c r="I7" s="43" t="n">
        <v>0.06</v>
      </c>
      <c r="J7" s="57" t="s">
        <v>476</v>
      </c>
    </row>
    <row r="8" customFormat="false" ht="15" hidden="false" customHeight="true" outlineLevel="0" collapsed="false">
      <c r="B8" s="36" t="s">
        <v>477</v>
      </c>
      <c r="C8" s="57" t="s">
        <v>478</v>
      </c>
      <c r="D8" s="43" t="n">
        <v>0.62</v>
      </c>
      <c r="E8" s="43" t="n">
        <v>0.615</v>
      </c>
      <c r="F8" s="43" t="n">
        <v>0.61</v>
      </c>
      <c r="G8" s="43" t="n">
        <v>0.605</v>
      </c>
      <c r="H8" s="43" t="n">
        <v>0.6</v>
      </c>
      <c r="I8" s="43" t="n">
        <v>0.598</v>
      </c>
      <c r="J8" s="57" t="s">
        <v>479</v>
      </c>
    </row>
    <row r="9" customFormat="false" ht="15" hidden="false" customHeight="true" outlineLevel="0" collapsed="false">
      <c r="B9" s="36" t="s">
        <v>480</v>
      </c>
      <c r="C9" s="57" t="s">
        <v>481</v>
      </c>
      <c r="D9" s="43" t="n">
        <v>0.18</v>
      </c>
      <c r="E9" s="43" t="n">
        <v>0.178</v>
      </c>
      <c r="F9" s="43" t="n">
        <v>0.175</v>
      </c>
      <c r="G9" s="43" t="n">
        <v>0.172</v>
      </c>
      <c r="H9" s="43" t="n">
        <v>0.17</v>
      </c>
      <c r="I9" s="43" t="n">
        <v>0.168</v>
      </c>
      <c r="J9" s="57" t="s">
        <v>482</v>
      </c>
    </row>
    <row r="10" customFormat="false" ht="15" hidden="false" customHeight="true" outlineLevel="0" collapsed="false">
      <c r="B10" s="36" t="s">
        <v>483</v>
      </c>
      <c r="C10" s="57" t="s">
        <v>484</v>
      </c>
      <c r="D10" s="69" t="s">
        <v>475</v>
      </c>
      <c r="E10" s="69" t="s">
        <v>475</v>
      </c>
      <c r="F10" s="69" t="s">
        <v>475</v>
      </c>
      <c r="G10" s="43" t="n">
        <v>0.042</v>
      </c>
      <c r="H10" s="43" t="n">
        <v>0.042</v>
      </c>
      <c r="I10" s="43" t="n">
        <v>0.041</v>
      </c>
      <c r="J10" s="57" t="s">
        <v>485</v>
      </c>
    </row>
    <row r="11" customFormat="false" ht="15" hidden="false" customHeight="true" outlineLevel="0" collapsed="false">
      <c r="B11" s="36" t="s">
        <v>486</v>
      </c>
      <c r="C11" s="57" t="s">
        <v>484</v>
      </c>
      <c r="D11" s="43" t="n">
        <v>0.25</v>
      </c>
      <c r="E11" s="43" t="n">
        <v>0.25</v>
      </c>
      <c r="F11" s="43" t="n">
        <v>0.25</v>
      </c>
      <c r="G11" s="43" t="n">
        <v>0.25</v>
      </c>
      <c r="H11" s="43" t="n">
        <v>0.25</v>
      </c>
      <c r="I11" s="43" t="n">
        <v>0.25</v>
      </c>
      <c r="J11" s="57" t="s">
        <v>487</v>
      </c>
    </row>
    <row r="12" customFormat="false" ht="15" hidden="false" customHeight="true" outlineLevel="0" collapsed="false">
      <c r="B12" s="36" t="s">
        <v>488</v>
      </c>
      <c r="C12" s="57" t="s">
        <v>489</v>
      </c>
      <c r="D12" s="43" t="n">
        <v>0.114</v>
      </c>
      <c r="E12" s="43" t="n">
        <v>0.117</v>
      </c>
      <c r="F12" s="43" t="n">
        <v>0.118</v>
      </c>
      <c r="G12" s="43" t="n">
        <v>0.12</v>
      </c>
      <c r="H12" s="43" t="n">
        <v>0.12</v>
      </c>
      <c r="I12" s="43" t="n">
        <v>0.12</v>
      </c>
      <c r="J12" s="57" t="s">
        <v>490</v>
      </c>
    </row>
    <row r="13" customFormat="false" ht="15" hidden="false" customHeight="true" outlineLevel="0" collapsed="false">
      <c r="B13" s="36" t="s">
        <v>491</v>
      </c>
      <c r="C13" s="57" t="s">
        <v>492</v>
      </c>
      <c r="D13" s="69" t="s">
        <v>475</v>
      </c>
      <c r="E13" s="69" t="s">
        <v>475</v>
      </c>
      <c r="F13" s="69" t="s">
        <v>475</v>
      </c>
      <c r="G13" s="43" t="n">
        <v>0.052</v>
      </c>
      <c r="H13" s="43" t="n">
        <v>0.05</v>
      </c>
      <c r="I13" s="43" t="n">
        <v>0.048</v>
      </c>
      <c r="J13" s="57" t="s">
        <v>493</v>
      </c>
    </row>
    <row r="14" customFormat="false" ht="15" hidden="false" customHeight="true" outlineLevel="0" collapsed="false">
      <c r="B14" s="36" t="s">
        <v>494</v>
      </c>
      <c r="C14" s="57" t="s">
        <v>495</v>
      </c>
      <c r="D14" s="69" t="s">
        <v>475</v>
      </c>
      <c r="E14" s="69" t="s">
        <v>475</v>
      </c>
      <c r="F14" s="69" t="s">
        <v>475</v>
      </c>
      <c r="G14" s="43" t="n">
        <v>0.06</v>
      </c>
      <c r="H14" s="43" t="n">
        <v>0.06</v>
      </c>
      <c r="I14" s="43" t="n">
        <v>0.06</v>
      </c>
      <c r="J14" s="57" t="s">
        <v>496</v>
      </c>
    </row>
    <row r="15" customFormat="false" ht="15" hidden="false" customHeight="true" outlineLevel="0" collapsed="false">
      <c r="B15" s="36" t="s">
        <v>497</v>
      </c>
      <c r="C15" s="57" t="s">
        <v>498</v>
      </c>
      <c r="D15" s="70" t="n">
        <v>10</v>
      </c>
      <c r="E15" s="70" t="n">
        <v>10</v>
      </c>
      <c r="F15" s="70" t="n">
        <v>10</v>
      </c>
      <c r="G15" s="70" t="n">
        <v>10</v>
      </c>
      <c r="H15" s="70" t="n">
        <v>10</v>
      </c>
      <c r="I15" s="70" t="n">
        <v>10</v>
      </c>
      <c r="J15" s="57" t="s">
        <v>499</v>
      </c>
    </row>
    <row r="16" customFormat="false" ht="15" hidden="false" customHeight="true" outlineLevel="0" collapsed="false">
      <c r="B16" s="36" t="s">
        <v>500</v>
      </c>
      <c r="C16" s="57" t="s">
        <v>501</v>
      </c>
      <c r="D16" s="43" t="n">
        <v>0.3</v>
      </c>
      <c r="E16" s="43" t="n">
        <v>0.3</v>
      </c>
      <c r="F16" s="43" t="n">
        <v>0.3</v>
      </c>
      <c r="G16" s="43" t="n">
        <v>0.3</v>
      </c>
      <c r="H16" s="43" t="n">
        <v>0.3</v>
      </c>
      <c r="I16" s="43" t="n">
        <v>0.3</v>
      </c>
      <c r="J16" s="57" t="s">
        <v>502</v>
      </c>
    </row>
    <row r="17" customFormat="false" ht="15" hidden="false" customHeight="true" outlineLevel="0" collapsed="false">
      <c r="D17" s="71"/>
      <c r="E17" s="71"/>
      <c r="F17" s="71"/>
      <c r="G17" s="71"/>
      <c r="H17" s="71"/>
      <c r="I17" s="71"/>
    </row>
    <row r="18" customFormat="false" ht="18" hidden="false" customHeight="true" outlineLevel="0" collapsed="false">
      <c r="B18" s="5" t="s">
        <v>503</v>
      </c>
      <c r="C18" s="5"/>
      <c r="D18" s="5"/>
      <c r="E18" s="5"/>
      <c r="F18" s="5"/>
      <c r="G18" s="5"/>
      <c r="H18" s="5"/>
      <c r="I18" s="5"/>
      <c r="J18" s="5"/>
    </row>
    <row r="19" customFormat="false" ht="15" hidden="false" customHeight="true" outlineLevel="0" collapsed="false">
      <c r="D19" s="71"/>
      <c r="E19" s="71"/>
      <c r="F19" s="71"/>
      <c r="G19" s="71"/>
      <c r="H19" s="71"/>
      <c r="I19" s="71"/>
    </row>
    <row r="20" customFormat="false" ht="15" hidden="false" customHeight="true" outlineLevel="0" collapsed="false">
      <c r="B20" s="34" t="s">
        <v>310</v>
      </c>
      <c r="D20" s="70" t="n">
        <v>420</v>
      </c>
      <c r="E20" s="70" t="n">
        <v>460</v>
      </c>
      <c r="F20" s="70" t="n">
        <v>510</v>
      </c>
      <c r="G20" s="39" t="n">
        <f aca="false">F20*(1+G7)</f>
        <v>550.8</v>
      </c>
      <c r="H20" s="39" t="n">
        <f aca="false">G20*(1+H7)</f>
        <v>589.356</v>
      </c>
      <c r="I20" s="39" t="n">
        <f aca="false">H20*(1+I7)</f>
        <v>624.71736</v>
      </c>
      <c r="J20" s="57" t="s">
        <v>504</v>
      </c>
    </row>
    <row r="21" customFormat="false" ht="15" hidden="false" customHeight="true" outlineLevel="0" collapsed="false">
      <c r="B21" s="36" t="s">
        <v>312</v>
      </c>
      <c r="D21" s="39" t="n">
        <f aca="false">-D20*D8</f>
        <v>-260.4</v>
      </c>
      <c r="E21" s="39" t="n">
        <f aca="false">-E20*E8</f>
        <v>-282.9</v>
      </c>
      <c r="F21" s="39" t="n">
        <f aca="false">-F20*F8</f>
        <v>-311.1</v>
      </c>
      <c r="G21" s="39" t="n">
        <f aca="false">-G20*G8</f>
        <v>-333.234</v>
      </c>
      <c r="H21" s="39" t="n">
        <f aca="false">-H20*H8</f>
        <v>-353.6136</v>
      </c>
      <c r="I21" s="39" t="n">
        <f aca="false">-I20*I8</f>
        <v>-373.58098128</v>
      </c>
    </row>
    <row r="22" customFormat="false" ht="15" hidden="false" customHeight="true" outlineLevel="0" collapsed="false">
      <c r="B22" s="37" t="s">
        <v>314</v>
      </c>
      <c r="C22" s="72"/>
      <c r="D22" s="38" t="n">
        <f aca="false">D20+D21</f>
        <v>159.6</v>
      </c>
      <c r="E22" s="38" t="n">
        <f aca="false">E20+E21</f>
        <v>177.1</v>
      </c>
      <c r="F22" s="38" t="n">
        <f aca="false">F20+F21</f>
        <v>198.9</v>
      </c>
      <c r="G22" s="38" t="n">
        <f aca="false">G20+G21</f>
        <v>217.566</v>
      </c>
      <c r="H22" s="38" t="n">
        <f aca="false">H20+H21</f>
        <v>235.7424</v>
      </c>
      <c r="I22" s="38" t="n">
        <f aca="false">I20+I21</f>
        <v>251.13637872</v>
      </c>
    </row>
    <row r="23" customFormat="false" ht="15" hidden="false" customHeight="true" outlineLevel="0" collapsed="false">
      <c r="B23" s="36" t="s">
        <v>316</v>
      </c>
      <c r="D23" s="39" t="n">
        <f aca="false">-D20*D9</f>
        <v>-75.6</v>
      </c>
      <c r="E23" s="39" t="n">
        <f aca="false">-E20*E9</f>
        <v>-81.88</v>
      </c>
      <c r="F23" s="39" t="n">
        <f aca="false">-F20*F9</f>
        <v>-89.25</v>
      </c>
      <c r="G23" s="39" t="n">
        <f aca="false">-G20*G9</f>
        <v>-94.7376</v>
      </c>
      <c r="H23" s="39" t="n">
        <f aca="false">-H20*H9</f>
        <v>-100.19052</v>
      </c>
      <c r="I23" s="39" t="n">
        <f aca="false">-I20*I9</f>
        <v>-104.95251648</v>
      </c>
    </row>
    <row r="24" customFormat="false" ht="15" hidden="false" customHeight="true" outlineLevel="0" collapsed="false">
      <c r="B24" s="37" t="s">
        <v>318</v>
      </c>
      <c r="C24" s="72"/>
      <c r="D24" s="38" t="n">
        <f aca="false">D22+D23</f>
        <v>84</v>
      </c>
      <c r="E24" s="38" t="n">
        <f aca="false">E22+E23</f>
        <v>95.22</v>
      </c>
      <c r="F24" s="38" t="n">
        <f aca="false">F22+F23</f>
        <v>109.65</v>
      </c>
      <c r="G24" s="38" t="n">
        <f aca="false">G22+G23</f>
        <v>122.8284</v>
      </c>
      <c r="H24" s="38" t="n">
        <f aca="false">H22+H23</f>
        <v>135.55188</v>
      </c>
      <c r="I24" s="38" t="n">
        <f aca="false">I22+I23</f>
        <v>146.18386224</v>
      </c>
    </row>
    <row r="25" customFormat="false" ht="15" hidden="false" customHeight="true" outlineLevel="0" collapsed="false">
      <c r="B25" s="36" t="s">
        <v>320</v>
      </c>
      <c r="D25" s="70" t="n">
        <v>-18</v>
      </c>
      <c r="E25" s="70" t="n">
        <v>-19</v>
      </c>
      <c r="F25" s="70" t="n">
        <v>-21</v>
      </c>
      <c r="G25" s="39" t="n">
        <f aca="false">-G20*G10</f>
        <v>-23.1336</v>
      </c>
      <c r="H25" s="39" t="n">
        <f aca="false">-H20*H10</f>
        <v>-24.752952</v>
      </c>
      <c r="I25" s="39" t="n">
        <f aca="false">-I20*I10</f>
        <v>-25.61341176</v>
      </c>
    </row>
    <row r="26" customFormat="false" ht="15" hidden="false" customHeight="true" outlineLevel="0" collapsed="false">
      <c r="B26" s="37" t="s">
        <v>322</v>
      </c>
      <c r="C26" s="72"/>
      <c r="D26" s="38" t="n">
        <f aca="false">D24+D25</f>
        <v>66</v>
      </c>
      <c r="E26" s="38" t="n">
        <f aca="false">E24+E25</f>
        <v>76.22</v>
      </c>
      <c r="F26" s="38" t="n">
        <f aca="false">F24+F25</f>
        <v>88.65</v>
      </c>
      <c r="G26" s="38" t="n">
        <f aca="false">G24+G25</f>
        <v>99.6948</v>
      </c>
      <c r="H26" s="38" t="n">
        <f aca="false">H24+H25</f>
        <v>110.798928</v>
      </c>
      <c r="I26" s="38" t="n">
        <f aca="false">I24+I25</f>
        <v>120.57045048</v>
      </c>
    </row>
    <row r="27" customFormat="false" ht="15" hidden="false" customHeight="true" outlineLevel="0" collapsed="false">
      <c r="B27" s="36" t="s">
        <v>324</v>
      </c>
      <c r="D27" s="70" t="n">
        <v>-8</v>
      </c>
      <c r="E27" s="70" t="n">
        <v>-7.5</v>
      </c>
      <c r="F27" s="70" t="n">
        <v>-7</v>
      </c>
      <c r="G27" s="39" t="n">
        <f aca="false">-F48*G14</f>
        <v>-7.2</v>
      </c>
      <c r="H27" s="39" t="n">
        <f aca="false">-G48*H14</f>
        <v>-6.6</v>
      </c>
      <c r="I27" s="39" t="n">
        <f aca="false">-H48*I14</f>
        <v>-6</v>
      </c>
    </row>
    <row r="28" customFormat="false" ht="15" hidden="false" customHeight="true" outlineLevel="0" collapsed="false">
      <c r="B28" s="34" t="s">
        <v>326</v>
      </c>
      <c r="D28" s="39" t="n">
        <f aca="false">D26+D27</f>
        <v>58</v>
      </c>
      <c r="E28" s="39" t="n">
        <f aca="false">E26+E27</f>
        <v>68.72</v>
      </c>
      <c r="F28" s="39" t="n">
        <f aca="false">F26+F27</f>
        <v>81.65</v>
      </c>
      <c r="G28" s="39" t="n">
        <f aca="false">G26+G27</f>
        <v>92.4948</v>
      </c>
      <c r="H28" s="39" t="n">
        <f aca="false">H26+H27</f>
        <v>104.198928</v>
      </c>
      <c r="I28" s="39" t="n">
        <f aca="false">I26+I27</f>
        <v>114.57045048</v>
      </c>
    </row>
    <row r="29" customFormat="false" ht="15" hidden="false" customHeight="true" outlineLevel="0" collapsed="false">
      <c r="B29" s="36" t="s">
        <v>328</v>
      </c>
      <c r="D29" s="39" t="n">
        <f aca="false">-D28*D11</f>
        <v>-14.5</v>
      </c>
      <c r="E29" s="39" t="n">
        <f aca="false">-E28*E11</f>
        <v>-17.18</v>
      </c>
      <c r="F29" s="39" t="n">
        <f aca="false">-F28*F11</f>
        <v>-20.4125</v>
      </c>
      <c r="G29" s="39" t="n">
        <f aca="false">-G28*G11</f>
        <v>-23.1237</v>
      </c>
      <c r="H29" s="39" t="n">
        <f aca="false">-H28*H11</f>
        <v>-26.049732</v>
      </c>
      <c r="I29" s="39" t="n">
        <f aca="false">-I28*I11</f>
        <v>-28.64261262</v>
      </c>
    </row>
    <row r="30" customFormat="false" ht="15" hidden="false" customHeight="true" outlineLevel="0" collapsed="false">
      <c r="B30" s="40" t="s">
        <v>330</v>
      </c>
      <c r="C30" s="73"/>
      <c r="D30" s="74" t="n">
        <f aca="false">D28+D29</f>
        <v>43.5</v>
      </c>
      <c r="E30" s="74" t="n">
        <f aca="false">E28+E29</f>
        <v>51.54</v>
      </c>
      <c r="F30" s="74" t="n">
        <f aca="false">F28+F29</f>
        <v>61.2375</v>
      </c>
      <c r="G30" s="74" t="n">
        <f aca="false">G28+G29</f>
        <v>69.3711</v>
      </c>
      <c r="H30" s="74" t="n">
        <f aca="false">H28+H29</f>
        <v>78.149196</v>
      </c>
      <c r="I30" s="74" t="n">
        <f aca="false">I28+I29</f>
        <v>85.92783786</v>
      </c>
      <c r="J30" s="57" t="s">
        <v>505</v>
      </c>
    </row>
    <row r="31" customFormat="false" ht="15" hidden="false" customHeight="true" outlineLevel="0" collapsed="false">
      <c r="D31" s="71"/>
      <c r="E31" s="71"/>
      <c r="F31" s="71"/>
      <c r="G31" s="71"/>
      <c r="H31" s="71"/>
      <c r="I31" s="71"/>
    </row>
    <row r="32" customFormat="false" ht="15" hidden="false" customHeight="true" outlineLevel="0" collapsed="false">
      <c r="B32" s="36" t="s">
        <v>506</v>
      </c>
      <c r="D32" s="75" t="n">
        <f aca="false">IF(D20=0,"-",D24/D20)</f>
        <v>0.2</v>
      </c>
      <c r="E32" s="75" t="n">
        <f aca="false">E24/E20</f>
        <v>0.207</v>
      </c>
      <c r="F32" s="75" t="n">
        <f aca="false">F24/F20</f>
        <v>0.215</v>
      </c>
      <c r="G32" s="75" t="n">
        <f aca="false">G24/G20</f>
        <v>0.223</v>
      </c>
      <c r="H32" s="75" t="n">
        <f aca="false">H24/H20</f>
        <v>0.23</v>
      </c>
      <c r="I32" s="75" t="n">
        <f aca="false">I24/I20</f>
        <v>0.234</v>
      </c>
    </row>
    <row r="33" customFormat="false" ht="15" hidden="false" customHeight="true" outlineLevel="0" collapsed="false">
      <c r="B33" s="36" t="s">
        <v>507</v>
      </c>
      <c r="D33" s="75" t="n">
        <f aca="false">D30/D20</f>
        <v>0.103571428571429</v>
      </c>
      <c r="E33" s="75" t="n">
        <f aca="false">E30/E20</f>
        <v>0.11204347826087</v>
      </c>
      <c r="F33" s="75" t="n">
        <f aca="false">F30/F20</f>
        <v>0.120073529411765</v>
      </c>
      <c r="G33" s="75" t="n">
        <f aca="false">G30/G20</f>
        <v>0.125946078431373</v>
      </c>
      <c r="H33" s="75" t="n">
        <f aca="false">H30/H20</f>
        <v>0.132601001771425</v>
      </c>
      <c r="I33" s="75" t="n">
        <f aca="false">I30/I20</f>
        <v>0.137546742514087</v>
      </c>
    </row>
    <row r="34" customFormat="false" ht="15" hidden="false" customHeight="true" outlineLevel="0" collapsed="false">
      <c r="B34" s="36" t="s">
        <v>508</v>
      </c>
      <c r="D34" s="71" t="s">
        <v>509</v>
      </c>
      <c r="E34" s="75" t="n">
        <f aca="false">E20/D20-1</f>
        <v>0.0952380952380953</v>
      </c>
      <c r="F34" s="75" t="n">
        <f aca="false">F20/E20-1</f>
        <v>0.108695652173913</v>
      </c>
      <c r="G34" s="75" t="n">
        <f aca="false">G20/F20-1</f>
        <v>0.0800000000000001</v>
      </c>
      <c r="H34" s="75" t="n">
        <f aca="false">H20/G20-1</f>
        <v>0.0700000000000001</v>
      </c>
      <c r="I34" s="75" t="n">
        <f aca="false">I20/H20-1</f>
        <v>0.0600000000000001</v>
      </c>
    </row>
    <row r="35" customFormat="false" ht="15" hidden="false" customHeight="true" outlineLevel="0" collapsed="false">
      <c r="D35" s="71"/>
      <c r="E35" s="71"/>
      <c r="F35" s="71"/>
      <c r="G35" s="71"/>
      <c r="H35" s="71"/>
      <c r="I35" s="71"/>
    </row>
    <row r="36" customFormat="false" ht="18" hidden="false" customHeight="true" outlineLevel="0" collapsed="false">
      <c r="B36" s="5" t="s">
        <v>510</v>
      </c>
      <c r="C36" s="5"/>
      <c r="D36" s="5"/>
      <c r="E36" s="5"/>
      <c r="F36" s="5"/>
      <c r="G36" s="5"/>
      <c r="H36" s="5"/>
      <c r="I36" s="5"/>
      <c r="J36" s="5"/>
    </row>
    <row r="37" customFormat="false" ht="15" hidden="false" customHeight="true" outlineLevel="0" collapsed="false">
      <c r="B37" s="36" t="s">
        <v>330</v>
      </c>
      <c r="D37" s="39" t="n">
        <f aca="false">D30</f>
        <v>43.5</v>
      </c>
      <c r="E37" s="39" t="n">
        <f aca="false">E30</f>
        <v>51.54</v>
      </c>
      <c r="F37" s="39" t="n">
        <f aca="false">F30</f>
        <v>61.2375</v>
      </c>
      <c r="G37" s="39" t="n">
        <f aca="false">G30</f>
        <v>69.3711</v>
      </c>
      <c r="H37" s="39" t="n">
        <f aca="false">H30</f>
        <v>78.149196</v>
      </c>
      <c r="I37" s="39" t="n">
        <f aca="false">I30</f>
        <v>85.92783786</v>
      </c>
    </row>
    <row r="38" customFormat="false" ht="15" hidden="false" customHeight="true" outlineLevel="0" collapsed="false">
      <c r="B38" s="36" t="s">
        <v>511</v>
      </c>
      <c r="D38" s="39" t="n">
        <f aca="false">-D25</f>
        <v>18</v>
      </c>
      <c r="E38" s="39" t="n">
        <f aca="false">-E25</f>
        <v>19</v>
      </c>
      <c r="F38" s="39" t="n">
        <f aca="false">-F25</f>
        <v>21</v>
      </c>
      <c r="G38" s="39" t="n">
        <f aca="false">-G25</f>
        <v>23.1336</v>
      </c>
      <c r="H38" s="39" t="n">
        <f aca="false">-H25</f>
        <v>24.752952</v>
      </c>
      <c r="I38" s="39" t="n">
        <f aca="false">-I25</f>
        <v>25.61341176</v>
      </c>
    </row>
    <row r="39" customFormat="false" ht="15" hidden="false" customHeight="true" outlineLevel="0" collapsed="false">
      <c r="B39" s="36" t="s">
        <v>512</v>
      </c>
      <c r="D39" s="71" t="s">
        <v>509</v>
      </c>
      <c r="E39" s="39" t="n">
        <f aca="false">-(E47-D47)</f>
        <v>-5.94</v>
      </c>
      <c r="F39" s="39" t="n">
        <f aca="false">-(F47-E47)</f>
        <v>-6.36</v>
      </c>
      <c r="G39" s="39" t="n">
        <f aca="false">-(G47-F47)</f>
        <v>-5.916</v>
      </c>
      <c r="H39" s="39" t="n">
        <f aca="false">-(H47-G47)</f>
        <v>-4.62672000000001</v>
      </c>
      <c r="I39" s="39" t="n">
        <f aca="false">-(I47-H47)</f>
        <v>-4.2433632</v>
      </c>
    </row>
    <row r="40" customFormat="false" ht="15" hidden="false" customHeight="true" outlineLevel="0" collapsed="false">
      <c r="B40" s="36" t="s">
        <v>513</v>
      </c>
      <c r="D40" s="70" t="n">
        <v>-22</v>
      </c>
      <c r="E40" s="70" t="n">
        <v>-24</v>
      </c>
      <c r="F40" s="70" t="n">
        <v>-26</v>
      </c>
      <c r="G40" s="39" t="n">
        <f aca="false">-G20*G13</f>
        <v>-28.6416</v>
      </c>
      <c r="H40" s="39" t="n">
        <f aca="false">-H20*H13</f>
        <v>-29.4678</v>
      </c>
      <c r="I40" s="39" t="n">
        <f aca="false">-I20*I13</f>
        <v>-29.98643328</v>
      </c>
    </row>
    <row r="41" customFormat="false" ht="15" hidden="false" customHeight="true" outlineLevel="0" collapsed="false">
      <c r="B41" s="37" t="s">
        <v>514</v>
      </c>
      <c r="C41" s="72"/>
      <c r="D41" s="76" t="s">
        <v>509</v>
      </c>
      <c r="E41" s="38" t="n">
        <f aca="false">E37+E38+E39+E40</f>
        <v>40.6</v>
      </c>
      <c r="F41" s="38" t="n">
        <f aca="false">F37+F38+F39+F40</f>
        <v>49.8775</v>
      </c>
      <c r="G41" s="38" t="n">
        <f aca="false">G37+G38+G39+G40</f>
        <v>57.9471</v>
      </c>
      <c r="H41" s="38" t="n">
        <f aca="false">H37+H38+H39+H40</f>
        <v>68.807628</v>
      </c>
      <c r="I41" s="38" t="n">
        <f aca="false">I37+I38+I39+I40</f>
        <v>77.31145314</v>
      </c>
    </row>
    <row r="42" customFormat="false" ht="15" hidden="false" customHeight="true" outlineLevel="0" collapsed="false">
      <c r="B42" s="36" t="s">
        <v>515</v>
      </c>
      <c r="D42" s="39" t="n">
        <f aca="false">-D15</f>
        <v>-10</v>
      </c>
      <c r="E42" s="39" t="n">
        <f aca="false">-E15</f>
        <v>-10</v>
      </c>
      <c r="F42" s="39" t="n">
        <f aca="false">-F15</f>
        <v>-10</v>
      </c>
      <c r="G42" s="39" t="n">
        <f aca="false">-G15</f>
        <v>-10</v>
      </c>
      <c r="H42" s="39" t="n">
        <f aca="false">-H15</f>
        <v>-10</v>
      </c>
      <c r="I42" s="39" t="n">
        <f aca="false">-I15</f>
        <v>-10</v>
      </c>
    </row>
    <row r="43" customFormat="false" ht="15" hidden="false" customHeight="true" outlineLevel="0" collapsed="false">
      <c r="B43" s="36" t="s">
        <v>516</v>
      </c>
      <c r="D43" s="39" t="n">
        <f aca="false">-D30*D16</f>
        <v>-13.05</v>
      </c>
      <c r="E43" s="39" t="n">
        <f aca="false">-E30*E16</f>
        <v>-15.462</v>
      </c>
      <c r="F43" s="39" t="n">
        <f aca="false">-F30*F16</f>
        <v>-18.37125</v>
      </c>
      <c r="G43" s="39" t="n">
        <f aca="false">-G30*G16</f>
        <v>-20.81133</v>
      </c>
      <c r="H43" s="39" t="n">
        <f aca="false">-H30*H16</f>
        <v>-23.4447588</v>
      </c>
      <c r="I43" s="39" t="n">
        <f aca="false">-I30*I16</f>
        <v>-25.778351358</v>
      </c>
    </row>
    <row r="44" customFormat="false" ht="15" hidden="false" customHeight="true" outlineLevel="0" collapsed="false">
      <c r="B44" s="37" t="s">
        <v>517</v>
      </c>
      <c r="C44" s="72"/>
      <c r="D44" s="76" t="s">
        <v>509</v>
      </c>
      <c r="E44" s="38" t="n">
        <f aca="false">E41+E42+E43</f>
        <v>15.138</v>
      </c>
      <c r="F44" s="38" t="n">
        <f aca="false">F41+F42+F43</f>
        <v>21.50625</v>
      </c>
      <c r="G44" s="38" t="n">
        <f aca="false">G41+G42+G43</f>
        <v>27.13577</v>
      </c>
      <c r="H44" s="38" t="n">
        <f aca="false">H41+H42+H43</f>
        <v>35.3628692</v>
      </c>
      <c r="I44" s="38" t="n">
        <f aca="false">I41+I42+I43</f>
        <v>41.533101782</v>
      </c>
      <c r="J44" s="57" t="s">
        <v>518</v>
      </c>
    </row>
    <row r="45" customFormat="false" ht="15" hidden="false" customHeight="true" outlineLevel="0" collapsed="false">
      <c r="D45" s="71"/>
      <c r="E45" s="71"/>
      <c r="F45" s="71"/>
      <c r="G45" s="71"/>
      <c r="H45" s="71"/>
      <c r="I45" s="71"/>
    </row>
    <row r="46" customFormat="false" ht="18" hidden="false" customHeight="true" outlineLevel="0" collapsed="false">
      <c r="B46" s="5" t="s">
        <v>519</v>
      </c>
      <c r="C46" s="5"/>
      <c r="D46" s="5"/>
      <c r="E46" s="5"/>
      <c r="F46" s="5"/>
      <c r="G46" s="5"/>
      <c r="H46" s="5"/>
      <c r="I46" s="5"/>
      <c r="J46" s="5"/>
    </row>
    <row r="47" customFormat="false" ht="15" hidden="false" customHeight="true" outlineLevel="0" collapsed="false">
      <c r="B47" s="36" t="s">
        <v>520</v>
      </c>
      <c r="D47" s="39" t="n">
        <f aca="false">D20*D12</f>
        <v>47.88</v>
      </c>
      <c r="E47" s="39" t="n">
        <f aca="false">E20*E12</f>
        <v>53.82</v>
      </c>
      <c r="F47" s="39" t="n">
        <f aca="false">F20*F12</f>
        <v>60.18</v>
      </c>
      <c r="G47" s="39" t="n">
        <f aca="false">G20*G12</f>
        <v>66.096</v>
      </c>
      <c r="H47" s="39" t="n">
        <f aca="false">H20*H12</f>
        <v>70.72272</v>
      </c>
      <c r="I47" s="39" t="n">
        <f aca="false">I20*I12</f>
        <v>74.9660832</v>
      </c>
    </row>
    <row r="48" customFormat="false" ht="15" hidden="false" customHeight="true" outlineLevel="0" collapsed="false">
      <c r="B48" s="36" t="s">
        <v>521</v>
      </c>
      <c r="D48" s="70" t="n">
        <v>140</v>
      </c>
      <c r="E48" s="39" t="n">
        <f aca="false">D48-E15</f>
        <v>130</v>
      </c>
      <c r="F48" s="39" t="n">
        <f aca="false">E48-F15</f>
        <v>120</v>
      </c>
      <c r="G48" s="39" t="n">
        <f aca="false">F48-G15</f>
        <v>110</v>
      </c>
      <c r="H48" s="39" t="n">
        <f aca="false">G48-H15</f>
        <v>100</v>
      </c>
      <c r="I48" s="39" t="n">
        <f aca="false">H48-I15</f>
        <v>90</v>
      </c>
    </row>
    <row r="49" customFormat="false" ht="15" hidden="false" customHeight="true" outlineLevel="0" collapsed="false">
      <c r="B49" s="36" t="s">
        <v>522</v>
      </c>
      <c r="D49" s="70" t="n">
        <v>210</v>
      </c>
      <c r="E49" s="39" t="n">
        <f aca="false">D49+(-E40)+E25</f>
        <v>215</v>
      </c>
      <c r="F49" s="39" t="n">
        <f aca="false">E49+(-F40)+F25</f>
        <v>220</v>
      </c>
      <c r="G49" s="39" t="n">
        <f aca="false">F49+(-G40)+G25</f>
        <v>225.508</v>
      </c>
      <c r="H49" s="39" t="n">
        <f aca="false">G49+(-H40)+H25</f>
        <v>230.222848</v>
      </c>
      <c r="I49" s="39" t="n">
        <f aca="false">H49+(-I40)+I25</f>
        <v>234.59586952</v>
      </c>
    </row>
    <row r="50" customFormat="false" ht="15" hidden="false" customHeight="true" outlineLevel="0" collapsed="false">
      <c r="B50" s="34" t="s">
        <v>523</v>
      </c>
      <c r="D50" s="70" t="n">
        <v>35</v>
      </c>
      <c r="E50" s="39" t="n">
        <f aca="false">D50+E44</f>
        <v>50.138</v>
      </c>
      <c r="F50" s="39" t="n">
        <f aca="false">E50+F44</f>
        <v>71.64425</v>
      </c>
      <c r="G50" s="39" t="n">
        <f aca="false">F50+G44</f>
        <v>98.7800200000001</v>
      </c>
      <c r="H50" s="39" t="n">
        <f aca="false">G50+H44</f>
        <v>134.1428892</v>
      </c>
      <c r="I50" s="39" t="n">
        <f aca="false">H50+I44</f>
        <v>175.675990982</v>
      </c>
      <c r="J50" s="57" t="s">
        <v>524</v>
      </c>
    </row>
    <row r="51" customFormat="false" ht="15" hidden="false" customHeight="true" outlineLevel="0" collapsed="false">
      <c r="B51" s="37" t="s">
        <v>525</v>
      </c>
      <c r="C51" s="72"/>
      <c r="D51" s="38" t="n">
        <f aca="false">D50+D47+D49</f>
        <v>292.88</v>
      </c>
      <c r="E51" s="38" t="n">
        <f aca="false">E50+E47+E49</f>
        <v>318.958</v>
      </c>
      <c r="F51" s="38" t="n">
        <f aca="false">F50+F47+F49</f>
        <v>351.82425</v>
      </c>
      <c r="G51" s="38" t="n">
        <f aca="false">G50+G47+G49</f>
        <v>390.38402</v>
      </c>
      <c r="H51" s="38" t="n">
        <f aca="false">H50+H47+H49</f>
        <v>435.0884572</v>
      </c>
      <c r="I51" s="38" t="n">
        <f aca="false">I50+I47+I49</f>
        <v>485.237943702</v>
      </c>
    </row>
    <row r="52" customFormat="false" ht="15" hidden="false" customHeight="true" outlineLevel="0" collapsed="false">
      <c r="B52" s="36" t="s">
        <v>526</v>
      </c>
      <c r="D52" s="39" t="n">
        <f aca="false">D51-D48</f>
        <v>152.88</v>
      </c>
      <c r="E52" s="39" t="n">
        <f aca="false">D52+E30+E43</f>
        <v>188.958</v>
      </c>
      <c r="F52" s="39" t="n">
        <f aca="false">E52+F30+F43</f>
        <v>231.82425</v>
      </c>
      <c r="G52" s="39" t="n">
        <f aca="false">F52+G30+G43</f>
        <v>280.38402</v>
      </c>
      <c r="H52" s="39" t="n">
        <f aca="false">G52+H30+H43</f>
        <v>335.0884572</v>
      </c>
      <c r="I52" s="39" t="n">
        <f aca="false">H52+I30+I43</f>
        <v>395.237943702</v>
      </c>
    </row>
    <row r="53" customFormat="false" ht="15" hidden="false" customHeight="true" outlineLevel="0" collapsed="false">
      <c r="B53" s="37" t="s">
        <v>527</v>
      </c>
      <c r="C53" s="72"/>
      <c r="D53" s="38" t="n">
        <f aca="false">D48+D52</f>
        <v>292.88</v>
      </c>
      <c r="E53" s="38" t="n">
        <f aca="false">E48+E52</f>
        <v>318.958</v>
      </c>
      <c r="F53" s="38" t="n">
        <f aca="false">F48+F52</f>
        <v>351.82425</v>
      </c>
      <c r="G53" s="38" t="n">
        <f aca="false">G48+G52</f>
        <v>390.38402</v>
      </c>
      <c r="H53" s="38" t="n">
        <f aca="false">H48+H52</f>
        <v>435.0884572</v>
      </c>
      <c r="I53" s="38" t="n">
        <f aca="false">I48+I52</f>
        <v>485.237943702</v>
      </c>
    </row>
    <row r="54" customFormat="false" ht="15" hidden="false" customHeight="true" outlineLevel="0" collapsed="false">
      <c r="D54" s="71"/>
      <c r="E54" s="71"/>
      <c r="F54" s="71"/>
      <c r="G54" s="71"/>
      <c r="H54" s="71"/>
      <c r="I54" s="71"/>
    </row>
    <row r="55" customFormat="false" ht="15" hidden="false" customHeight="true" outlineLevel="0" collapsed="false">
      <c r="B55" s="40" t="s">
        <v>528</v>
      </c>
      <c r="C55" s="73"/>
      <c r="D55" s="74" t="n">
        <f aca="false">D51-D53</f>
        <v>0</v>
      </c>
      <c r="E55" s="74" t="n">
        <f aca="false">E51-E53</f>
        <v>0</v>
      </c>
      <c r="F55" s="74" t="n">
        <f aca="false">F51-F53</f>
        <v>0</v>
      </c>
      <c r="G55" s="74" t="n">
        <f aca="false">G51-G53</f>
        <v>0</v>
      </c>
      <c r="H55" s="74" t="n">
        <f aca="false">H51-H53</f>
        <v>0</v>
      </c>
      <c r="I55" s="74" t="n">
        <f aca="false">I51-I53</f>
        <v>0</v>
      </c>
      <c r="J55" s="77" t="s">
        <v>529</v>
      </c>
    </row>
    <row r="56" customFormat="false" ht="15" hidden="false" customHeight="true" outlineLevel="0" collapsed="false">
      <c r="B56" s="36" t="s">
        <v>530</v>
      </c>
      <c r="D56" s="78" t="s">
        <v>475</v>
      </c>
      <c r="E56" s="39" t="n">
        <f aca="false">E50-(D50+E44)</f>
        <v>0</v>
      </c>
      <c r="F56" s="39" t="n">
        <f aca="false">F50-(E50+F44)</f>
        <v>0</v>
      </c>
      <c r="G56" s="39" t="n">
        <f aca="false">G50-(F50+G44)</f>
        <v>0</v>
      </c>
      <c r="H56" s="39" t="n">
        <f aca="false">H50-(G50+H44)</f>
        <v>0</v>
      </c>
      <c r="I56" s="39" t="n">
        <f aca="false">I50-(H50+I44)</f>
        <v>0</v>
      </c>
    </row>
  </sheetData>
  <mergeCells count="7">
    <mergeCell ref="A1:J1"/>
    <mergeCell ref="A2:J2"/>
    <mergeCell ref="D4:I4"/>
    <mergeCell ref="B6:J6"/>
    <mergeCell ref="B18:J18"/>
    <mergeCell ref="B36:J36"/>
    <mergeCell ref="B46:J46"/>
  </mergeCells>
  <conditionalFormatting sqref="C4">
    <cfRule type="expression" priority="2" aboveAverage="0" equalAverage="0" bottom="0" percent="0" rank="0" text="" dxfId="13">
      <formula>C4="BALANCES"</formula>
    </cfRule>
    <cfRule type="expression" priority="3" aboveAverage="0" equalAverage="0" bottom="0" percent="0" rank="0" text="" dxfId="14">
      <formula>C4="BREAKS"</formula>
    </cfRule>
  </conditionalFormatting>
  <conditionalFormatting sqref="D55:I56">
    <cfRule type="expression" priority="4" aboveAverage="0" equalAverage="0" bottom="0" percent="0" rank="0" text="" dxfId="15">
      <formula>ABS(D55)&lt;0.05</formula>
    </cfRule>
    <cfRule type="expression" priority="5" aboveAverage="0" equalAverage="0" bottom="0" percent="0" rank="0" text="" dxfId="16">
      <formula>ABS(D55)&gt;=0.05</formula>
    </cfRule>
  </conditionalFormatting>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&amp;LIB Excel Dojo</oddHeader>
    <oddFooter>&amp;RPage &amp;P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11" min="3" style="1" width="14"/>
    <col collapsed="false" customWidth="true" hidden="false" outlineLevel="0" max="12" min="12" style="1" width="28"/>
  </cols>
  <sheetData>
    <row r="1" customFormat="false" ht="27.75" hidden="false" customHeight="true" outlineLevel="0" collapsed="false">
      <c r="A1" s="2" t="s">
        <v>531</v>
      </c>
      <c r="B1" s="2"/>
      <c r="C1" s="2"/>
      <c r="D1" s="2"/>
      <c r="E1" s="2"/>
      <c r="F1" s="2"/>
      <c r="G1" s="2"/>
      <c r="H1" s="2"/>
      <c r="I1" s="2"/>
      <c r="J1" s="2"/>
      <c r="K1" s="2"/>
      <c r="L1" s="2"/>
    </row>
    <row r="2" customFormat="false" ht="18" hidden="false" customHeight="true" outlineLevel="0" collapsed="false">
      <c r="A2" s="3" t="s">
        <v>532</v>
      </c>
      <c r="B2" s="3"/>
      <c r="C2" s="3"/>
      <c r="D2" s="3"/>
      <c r="E2" s="3"/>
      <c r="F2" s="3"/>
      <c r="G2" s="3"/>
      <c r="H2" s="3"/>
      <c r="I2" s="3"/>
      <c r="J2" s="3"/>
      <c r="K2" s="3"/>
      <c r="L2" s="3"/>
    </row>
    <row r="4" customFormat="false" ht="18" hidden="false" customHeight="true" outlineLevel="0" collapsed="false">
      <c r="B4" s="5" t="s">
        <v>533</v>
      </c>
      <c r="C4" s="5"/>
      <c r="D4" s="5"/>
      <c r="E4" s="5"/>
      <c r="F4" s="5"/>
      <c r="G4" s="5"/>
      <c r="H4" s="5"/>
      <c r="I4" s="5"/>
      <c r="J4" s="5"/>
      <c r="K4" s="5"/>
      <c r="L4" s="5"/>
    </row>
    <row r="5" customFormat="false" ht="15" hidden="false" customHeight="true" outlineLevel="0" collapsed="false">
      <c r="B5" s="36" t="s">
        <v>534</v>
      </c>
      <c r="C5" s="79" t="n">
        <f aca="false">IFERROR(04_3Statement!I24,0)</f>
        <v>146.18386224</v>
      </c>
      <c r="D5" s="18" t="s">
        <v>535</v>
      </c>
      <c r="E5" s="18"/>
      <c r="F5" s="18"/>
      <c r="G5" s="18"/>
    </row>
    <row r="6" customFormat="false" ht="15" hidden="false" customHeight="true" outlineLevel="0" collapsed="false">
      <c r="B6" s="36" t="s">
        <v>536</v>
      </c>
      <c r="C6" s="80" t="n">
        <v>8.5</v>
      </c>
    </row>
    <row r="7" customFormat="false" ht="15" hidden="false" customHeight="true" outlineLevel="0" collapsed="false">
      <c r="B7" s="36" t="s">
        <v>537</v>
      </c>
      <c r="C7" s="79" t="n">
        <f aca="false">04_3Statement!I48-04_3Statement!I50</f>
        <v>-85.675990982</v>
      </c>
    </row>
    <row r="8" customFormat="false" ht="15" hidden="false" customHeight="true" outlineLevel="0" collapsed="false">
      <c r="B8" s="36" t="s">
        <v>538</v>
      </c>
      <c r="C8" s="39" t="n">
        <f aca="false">C5*C6</f>
        <v>1242.56282904</v>
      </c>
    </row>
    <row r="9" customFormat="false" ht="15" hidden="false" customHeight="true" outlineLevel="0" collapsed="false">
      <c r="B9" s="36" t="s">
        <v>539</v>
      </c>
      <c r="C9" s="39" t="n">
        <f aca="false">C8-C7</f>
        <v>1328.238820022</v>
      </c>
    </row>
    <row r="10" customFormat="false" ht="15" hidden="false" customHeight="true" outlineLevel="0" collapsed="false">
      <c r="B10" s="36" t="s">
        <v>540</v>
      </c>
      <c r="C10" s="81" t="n">
        <v>2.5</v>
      </c>
    </row>
    <row r="11" customFormat="false" ht="15" hidden="false" customHeight="true" outlineLevel="0" collapsed="false">
      <c r="B11" s="36" t="s">
        <v>541</v>
      </c>
      <c r="C11" s="43" t="n">
        <v>0.095</v>
      </c>
    </row>
    <row r="12" customFormat="false" ht="15" hidden="false" customHeight="true" outlineLevel="0" collapsed="false">
      <c r="B12" s="36" t="s">
        <v>542</v>
      </c>
      <c r="C12" s="39" t="n">
        <f aca="false">C9/(1+C11)^C10</f>
        <v>1058.62189273811</v>
      </c>
    </row>
    <row r="13" customFormat="false" ht="15" hidden="false" customHeight="true" outlineLevel="0" collapsed="false">
      <c r="B13" s="36" t="s">
        <v>543</v>
      </c>
      <c r="C13" s="82" t="n">
        <v>40</v>
      </c>
    </row>
    <row r="14" customFormat="false" ht="15" hidden="false" customHeight="true" outlineLevel="0" collapsed="false">
      <c r="B14" s="36" t="s">
        <v>544</v>
      </c>
      <c r="C14" s="83" t="n">
        <f aca="false">IF(C13=0,"-",C12/C13)</f>
        <v>26.4655473184527</v>
      </c>
    </row>
    <row r="16" customFormat="false" ht="18" hidden="false" customHeight="true" outlineLevel="0" collapsed="false">
      <c r="B16" s="5" t="s">
        <v>545</v>
      </c>
      <c r="C16" s="5"/>
      <c r="D16" s="5"/>
      <c r="E16" s="5"/>
      <c r="F16" s="5"/>
      <c r="G16" s="5"/>
      <c r="H16" s="5"/>
      <c r="I16" s="5"/>
      <c r="J16" s="5"/>
      <c r="K16" s="5"/>
      <c r="L16" s="5"/>
    </row>
    <row r="17" customFormat="false" ht="15" hidden="false" customHeight="true" outlineLevel="0" collapsed="false">
      <c r="B17" s="84" t="n">
        <f aca="false">C14</f>
        <v>26.4655473184527</v>
      </c>
      <c r="C17" s="80" t="n">
        <v>7</v>
      </c>
      <c r="D17" s="80" t="n">
        <v>7.5</v>
      </c>
      <c r="E17" s="80" t="n">
        <v>8</v>
      </c>
      <c r="F17" s="80" t="n">
        <v>8.5</v>
      </c>
      <c r="G17" s="80" t="n">
        <v>9</v>
      </c>
      <c r="H17" s="80" t="n">
        <v>9.5</v>
      </c>
      <c r="I17" s="80" t="n">
        <v>10</v>
      </c>
    </row>
    <row r="18" customFormat="false" ht="15" hidden="false" customHeight="true" outlineLevel="0" collapsed="false">
      <c r="B18" s="43" t="n">
        <v>0.08</v>
      </c>
      <c r="C18" s="85" t="n">
        <f aca="false">(($C$5*C$17)-$C$7)/(1+$B18)^$C$10/$C$13</f>
        <v>22.8716600210279</v>
      </c>
      <c r="D18" s="85" t="n">
        <f aca="false">(($C$5*D$17)-$C$7)/(1+$B18)^$C$10/$C$13</f>
        <v>24.3791348048257</v>
      </c>
      <c r="E18" s="85" t="n">
        <f aca="false">(($C$5*E$17)-$C$7)/(1+$B18)^$C$10/$C$13</f>
        <v>25.8866095886235</v>
      </c>
      <c r="F18" s="85" t="n">
        <f aca="false">(($C$5*F$17)-$C$7)/(1+$B18)^$C$10/$C$13</f>
        <v>27.3940843724213</v>
      </c>
      <c r="G18" s="85" t="n">
        <f aca="false">(($C$5*G$17)-$C$7)/(1+$B18)^$C$10/$C$13</f>
        <v>28.9015591562191</v>
      </c>
      <c r="H18" s="85" t="n">
        <f aca="false">(($C$5*H$17)-$C$7)/(1+$B18)^$C$10/$C$13</f>
        <v>30.4090339400168</v>
      </c>
      <c r="I18" s="85" t="n">
        <f aca="false">(($C$5*I$17)-$C$7)/(1+$B18)^$C$10/$C$13</f>
        <v>31.9165087238146</v>
      </c>
    </row>
    <row r="19" customFormat="false" ht="15" hidden="false" customHeight="true" outlineLevel="0" collapsed="false">
      <c r="B19" s="43" t="n">
        <v>0.085</v>
      </c>
      <c r="C19" s="85" t="n">
        <f aca="false">(($C$5*C$17)-$C$7)/(1+$B19)^$C$10/$C$13</f>
        <v>22.6090716425284</v>
      </c>
      <c r="D19" s="85" t="n">
        <f aca="false">(($C$5*D$17)-$C$7)/(1+$B19)^$C$10/$C$13</f>
        <v>24.0992391841434</v>
      </c>
      <c r="E19" s="85" t="n">
        <f aca="false">(($C$5*E$17)-$C$7)/(1+$B19)^$C$10/$C$13</f>
        <v>25.5894067257584</v>
      </c>
      <c r="F19" s="85" t="n">
        <f aca="false">(($C$5*F$17)-$C$7)/(1+$B19)^$C$10/$C$13</f>
        <v>27.0795742673733</v>
      </c>
      <c r="G19" s="85" t="n">
        <f aca="false">(($C$5*G$17)-$C$7)/(1+$B19)^$C$10/$C$13</f>
        <v>28.5697418089883</v>
      </c>
      <c r="H19" s="85" t="n">
        <f aca="false">(($C$5*H$17)-$C$7)/(1+$B19)^$C$10/$C$13</f>
        <v>30.0599093506033</v>
      </c>
      <c r="I19" s="85" t="n">
        <f aca="false">(($C$5*I$17)-$C$7)/(1+$B19)^$C$10/$C$13</f>
        <v>31.5500768922183</v>
      </c>
    </row>
    <row r="20" customFormat="false" ht="15" hidden="false" customHeight="true" outlineLevel="0" collapsed="false">
      <c r="B20" s="43" t="n">
        <v>0.09</v>
      </c>
      <c r="C20" s="85" t="n">
        <f aca="false">(($C$5*C$17)-$C$7)/(1+$B20)^$C$10/$C$13</f>
        <v>22.3506846282987</v>
      </c>
      <c r="D20" s="85" t="n">
        <f aca="false">(($C$5*D$17)-$C$7)/(1+$B20)^$C$10/$C$13</f>
        <v>23.8238218403244</v>
      </c>
      <c r="E20" s="85" t="n">
        <f aca="false">(($C$5*E$17)-$C$7)/(1+$B20)^$C$10/$C$13</f>
        <v>25.2969590523501</v>
      </c>
      <c r="F20" s="85" t="n">
        <f aca="false">(($C$5*F$17)-$C$7)/(1+$B20)^$C$10/$C$13</f>
        <v>26.7700962643758</v>
      </c>
      <c r="G20" s="85" t="n">
        <f aca="false">(($C$5*G$17)-$C$7)/(1+$B20)^$C$10/$C$13</f>
        <v>28.2432334764016</v>
      </c>
      <c r="H20" s="85" t="n">
        <f aca="false">(($C$5*H$17)-$C$7)/(1+$B20)^$C$10/$C$13</f>
        <v>29.7163706884273</v>
      </c>
      <c r="I20" s="85" t="n">
        <f aca="false">(($C$5*I$17)-$C$7)/(1+$B20)^$C$10/$C$13</f>
        <v>31.189507900453</v>
      </c>
    </row>
    <row r="21" customFormat="false" ht="15" hidden="false" customHeight="true" outlineLevel="0" collapsed="false">
      <c r="B21" s="43" t="n">
        <v>0.095</v>
      </c>
      <c r="C21" s="85" t="n">
        <f aca="false">(($C$5*C$17)-$C$7)/(1+$B21)^$C$10/$C$13</f>
        <v>22.0964129448133</v>
      </c>
      <c r="D21" s="85" t="n">
        <f aca="false">(($C$5*D$17)-$C$7)/(1+$B21)^$C$10/$C$13</f>
        <v>23.5527910693598</v>
      </c>
      <c r="E21" s="85" t="n">
        <f aca="false">(($C$5*E$17)-$C$7)/(1+$B21)^$C$10/$C$13</f>
        <v>25.0091691939062</v>
      </c>
      <c r="F21" s="85" t="n">
        <f aca="false">(($C$5*F$17)-$C$7)/(1+$B21)^$C$10/$C$13</f>
        <v>26.4655473184527</v>
      </c>
      <c r="G21" s="85" t="n">
        <f aca="false">(($C$5*G$17)-$C$7)/(1+$B21)^$C$10/$C$13</f>
        <v>27.9219254429991</v>
      </c>
      <c r="H21" s="85" t="n">
        <f aca="false">(($C$5*H$17)-$C$7)/(1+$B21)^$C$10/$C$13</f>
        <v>29.3783035675456</v>
      </c>
      <c r="I21" s="85" t="n">
        <f aca="false">(($C$5*I$17)-$C$7)/(1+$B21)^$C$10/$C$13</f>
        <v>30.8346816920921</v>
      </c>
    </row>
    <row r="22" customFormat="false" ht="15" hidden="false" customHeight="true" outlineLevel="0" collapsed="false">
      <c r="B22" s="43" t="n">
        <v>0.1</v>
      </c>
      <c r="C22" s="85" t="n">
        <f aca="false">(($C$5*C$17)-$C$7)/(1+$B22)^$C$10/$C$13</f>
        <v>21.8461727020409</v>
      </c>
      <c r="D22" s="85" t="n">
        <f aca="false">(($C$5*D$17)-$C$7)/(1+$B22)^$C$10/$C$13</f>
        <v>23.2860574520127</v>
      </c>
      <c r="E22" s="85" t="n">
        <f aca="false">(($C$5*E$17)-$C$7)/(1+$B22)^$C$10/$C$13</f>
        <v>24.7259422019845</v>
      </c>
      <c r="F22" s="85" t="n">
        <f aca="false">(($C$5*F$17)-$C$7)/(1+$B22)^$C$10/$C$13</f>
        <v>26.1658269519563</v>
      </c>
      <c r="G22" s="85" t="n">
        <f aca="false">(($C$5*G$17)-$C$7)/(1+$B22)^$C$10/$C$13</f>
        <v>27.6057117019281</v>
      </c>
      <c r="H22" s="85" t="n">
        <f aca="false">(($C$5*H$17)-$C$7)/(1+$B22)^$C$10/$C$13</f>
        <v>29.0455964519</v>
      </c>
      <c r="I22" s="85" t="n">
        <f aca="false">(($C$5*I$17)-$C$7)/(1+$B22)^$C$10/$C$13</f>
        <v>30.4854812018718</v>
      </c>
    </row>
    <row r="23" customFormat="false" ht="15" hidden="false" customHeight="true" outlineLevel="0" collapsed="false">
      <c r="B23" s="43" t="n">
        <v>0.105</v>
      </c>
      <c r="C23" s="85" t="n">
        <f aca="false">(($C$5*C$17)-$C$7)/(1+$B23)^$C$10/$C$13</f>
        <v>21.5998820906153</v>
      </c>
      <c r="D23" s="85" t="n">
        <f aca="false">(($C$5*D$17)-$C$7)/(1+$B23)^$C$10/$C$13</f>
        <v>23.0235337868486</v>
      </c>
      <c r="E23" s="85" t="n">
        <f aca="false">(($C$5*E$17)-$C$7)/(1+$B23)^$C$10/$C$13</f>
        <v>24.4471854830819</v>
      </c>
      <c r="F23" s="85" t="n">
        <f aca="false">(($C$5*F$17)-$C$7)/(1+$B23)^$C$10/$C$13</f>
        <v>25.8708371793152</v>
      </c>
      <c r="G23" s="85" t="n">
        <f aca="false">(($C$5*G$17)-$C$7)/(1+$B23)^$C$10/$C$13</f>
        <v>27.2944888755485</v>
      </c>
      <c r="H23" s="85" t="n">
        <f aca="false">(($C$5*H$17)-$C$7)/(1+$B23)^$C$10/$C$13</f>
        <v>28.7181405717818</v>
      </c>
      <c r="I23" s="85" t="n">
        <f aca="false">(($C$5*I$17)-$C$7)/(1+$B23)^$C$10/$C$13</f>
        <v>30.1417922680151</v>
      </c>
    </row>
    <row r="24" customFormat="false" ht="15" hidden="false" customHeight="true" outlineLevel="0" collapsed="false">
      <c r="B24" s="43" t="n">
        <v>0.11</v>
      </c>
      <c r="C24" s="85" t="n">
        <f aca="false">(($C$5*C$17)-$C$7)/(1+$B24)^$C$10/$C$13</f>
        <v>21.357461321121</v>
      </c>
      <c r="D24" s="85" t="n">
        <f aca="false">(($C$5*D$17)-$C$7)/(1+$B24)^$C$10/$C$13</f>
        <v>22.7651350255188</v>
      </c>
      <c r="E24" s="85" t="n">
        <f aca="false">(($C$5*E$17)-$C$7)/(1+$B24)^$C$10/$C$13</f>
        <v>24.1728087299165</v>
      </c>
      <c r="F24" s="85" t="n">
        <f aca="false">(($C$5*F$17)-$C$7)/(1+$B24)^$C$10/$C$13</f>
        <v>25.5804824343143</v>
      </c>
      <c r="G24" s="85" t="n">
        <f aca="false">(($C$5*G$17)-$C$7)/(1+$B24)^$C$10/$C$13</f>
        <v>26.9881561387121</v>
      </c>
      <c r="H24" s="85" t="n">
        <f aca="false">(($C$5*H$17)-$C$7)/(1+$B24)^$C$10/$C$13</f>
        <v>28.3958298431098</v>
      </c>
      <c r="I24" s="85" t="n">
        <f aca="false">(($C$5*I$17)-$C$7)/(1+$B24)^$C$10/$C$13</f>
        <v>29.8035035475076</v>
      </c>
    </row>
    <row r="26" customFormat="false" ht="15" hidden="false" customHeight="true" outlineLevel="0" collapsed="false">
      <c r="B26" s="28" t="s">
        <v>546</v>
      </c>
      <c r="C26" s="28"/>
      <c r="D26" s="28"/>
      <c r="E26" s="28"/>
      <c r="F26" s="28"/>
      <c r="G26" s="28"/>
      <c r="H26" s="28"/>
      <c r="I26" s="28"/>
    </row>
    <row r="27" customFormat="false" ht="15" hidden="false" customHeight="true" outlineLevel="0" collapsed="false">
      <c r="B27" s="28"/>
      <c r="C27" s="28"/>
      <c r="D27" s="28"/>
      <c r="E27" s="28"/>
      <c r="F27" s="28"/>
      <c r="G27" s="28"/>
      <c r="H27" s="28"/>
      <c r="I27" s="28"/>
    </row>
    <row r="28" customFormat="false" ht="15" hidden="false" customHeight="true" outlineLevel="0" collapsed="false">
      <c r="B28" s="28"/>
      <c r="C28" s="28"/>
      <c r="D28" s="28"/>
      <c r="E28" s="28"/>
      <c r="F28" s="28"/>
      <c r="G28" s="28"/>
      <c r="H28" s="28"/>
      <c r="I28" s="28"/>
    </row>
    <row r="30" customFormat="false" ht="18" hidden="false" customHeight="true" outlineLevel="0" collapsed="false">
      <c r="B30" s="5" t="s">
        <v>547</v>
      </c>
      <c r="C30" s="5"/>
      <c r="D30" s="5"/>
      <c r="E30" s="5"/>
      <c r="F30" s="5"/>
      <c r="G30" s="5"/>
      <c r="H30" s="5"/>
      <c r="I30" s="5"/>
      <c r="J30" s="5"/>
      <c r="K30" s="5"/>
      <c r="L30" s="5"/>
    </row>
    <row r="31" customFormat="false" ht="15" hidden="false" customHeight="true" outlineLevel="0" collapsed="false">
      <c r="B31" s="1" t="s">
        <v>548</v>
      </c>
      <c r="C31" s="86" t="s">
        <v>549</v>
      </c>
    </row>
    <row r="32" customFormat="false" ht="15" hidden="false" customHeight="true" outlineLevel="0" collapsed="false">
      <c r="B32" s="1" t="s">
        <v>550</v>
      </c>
      <c r="C32" s="46" t="n">
        <f aca="false">MATCH(C31,{"Downside","Base","Upside"},0)</f>
        <v>2</v>
      </c>
    </row>
    <row r="34" customFormat="false" ht="23.25" hidden="false" customHeight="true" outlineLevel="0" collapsed="false">
      <c r="B34" s="6" t="s">
        <v>551</v>
      </c>
      <c r="C34" s="6" t="s">
        <v>552</v>
      </c>
      <c r="D34" s="6" t="s">
        <v>549</v>
      </c>
      <c r="E34" s="6" t="s">
        <v>553</v>
      </c>
      <c r="F34" s="6" t="s">
        <v>554</v>
      </c>
    </row>
    <row r="35" customFormat="false" ht="15" hidden="false" customHeight="true" outlineLevel="0" collapsed="false">
      <c r="B35" s="36" t="s">
        <v>555</v>
      </c>
      <c r="C35" s="43" t="n">
        <v>0.03</v>
      </c>
      <c r="D35" s="43" t="n">
        <v>0.08</v>
      </c>
      <c r="E35" s="43" t="n">
        <v>0.12</v>
      </c>
      <c r="F35" s="87" t="n">
        <f aca="false">CHOOSE($C$32,C35,D35,E35)</f>
        <v>0.08</v>
      </c>
    </row>
    <row r="36" customFormat="false" ht="15" hidden="false" customHeight="true" outlineLevel="0" collapsed="false">
      <c r="B36" s="36" t="s">
        <v>556</v>
      </c>
      <c r="C36" s="43" t="n">
        <v>0.63</v>
      </c>
      <c r="D36" s="43" t="n">
        <v>0.605</v>
      </c>
      <c r="E36" s="43" t="n">
        <v>0.58</v>
      </c>
      <c r="F36" s="87" t="n">
        <f aca="false">CHOOSE($C$32,C36,D36,E36)</f>
        <v>0.605</v>
      </c>
    </row>
    <row r="37" customFormat="false" ht="15" hidden="false" customHeight="true" outlineLevel="0" collapsed="false">
      <c r="B37" s="36" t="s">
        <v>557</v>
      </c>
      <c r="C37" s="80" t="n">
        <v>7</v>
      </c>
      <c r="D37" s="80" t="n">
        <v>8.5</v>
      </c>
      <c r="E37" s="80" t="n">
        <v>10</v>
      </c>
      <c r="F37" s="88" t="n">
        <f aca="false">CHOOSE($C$32,C37,D37,E37)</f>
        <v>8.5</v>
      </c>
    </row>
    <row r="38" customFormat="false" ht="15" hidden="false" customHeight="true" outlineLevel="0" collapsed="false">
      <c r="B38" s="36" t="s">
        <v>558</v>
      </c>
      <c r="C38" s="43" t="n">
        <v>0.11</v>
      </c>
      <c r="D38" s="43" t="n">
        <v>0.095</v>
      </c>
      <c r="E38" s="43" t="n">
        <v>0.085</v>
      </c>
      <c r="F38" s="87" t="n">
        <f aca="false">CHOOSE($C$32,C38,D38,E38)</f>
        <v>0.095</v>
      </c>
    </row>
    <row r="40" customFormat="false" ht="15" hidden="false" customHeight="true" outlineLevel="0" collapsed="false">
      <c r="B40" s="18" t="s">
        <v>559</v>
      </c>
      <c r="C40" s="18"/>
      <c r="D40" s="18"/>
      <c r="E40" s="18"/>
      <c r="F40" s="18"/>
    </row>
    <row r="42" customFormat="false" ht="15" hidden="false" customHeight="true" outlineLevel="0" collapsed="false">
      <c r="B42" s="12" t="s">
        <v>560</v>
      </c>
      <c r="C42" s="12"/>
      <c r="D42" s="12"/>
      <c r="E42" s="12"/>
      <c r="F42" s="83" t="n">
        <f aca="false">(($C$5*F37)-$C$7)/(1+F38)^$C$10/$C$13</f>
        <v>26.4655473184527</v>
      </c>
    </row>
  </sheetData>
  <mergeCells count="9">
    <mergeCell ref="A1:L1"/>
    <mergeCell ref="A2:L2"/>
    <mergeCell ref="B4:L4"/>
    <mergeCell ref="D5:G5"/>
    <mergeCell ref="B16:L16"/>
    <mergeCell ref="B26:I28"/>
    <mergeCell ref="B30:L30"/>
    <mergeCell ref="B40:F40"/>
    <mergeCell ref="B42:E42"/>
  </mergeCells>
  <conditionalFormatting sqref="C18:I24">
    <cfRule type="colorScale" priority="2">
      <colorScale>
        <cfvo type="min" val="0"/>
        <cfvo type="percentile" val="50"/>
        <cfvo type="max" val="0"/>
        <color rgb="FFF8696B"/>
        <color rgb="FFFFEB84"/>
        <color rgb="FF63BE7B"/>
      </colorScale>
    </cfRule>
  </conditionalFormatting>
  <dataValidations count="1">
    <dataValidation allowBlank="false" error="Pick Downside, Base, or Upside" errorStyle="stop" errorTitle="Case" operator="between" showDropDown="false" showErrorMessage="false" showInputMessage="false" sqref="C31" type="list">
      <formula1>"Downside,Base,Upside"</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&amp;LIB Excel Dojo</oddHeader>
    <oddFooter>&amp;RPage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911"/>
    <pageSetUpPr fitToPage="tru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10"/>
    <col collapsed="false" customWidth="true" hidden="false" outlineLevel="0" max="4" min="4" style="1" width="14"/>
    <col collapsed="false" customWidth="true" hidden="false" outlineLevel="0" max="11" min="5" style="1" width="12"/>
    <col collapsed="false" customWidth="true" hidden="false" outlineLevel="0" max="12" min="12" style="1" width="14"/>
  </cols>
  <sheetData>
    <row r="1" customFormat="false" ht="27.75" hidden="false" customHeight="true" outlineLevel="0" collapsed="false">
      <c r="A1" s="2" t="s">
        <v>561</v>
      </c>
      <c r="B1" s="2"/>
      <c r="C1" s="2"/>
      <c r="D1" s="2"/>
      <c r="E1" s="2"/>
      <c r="F1" s="2"/>
      <c r="G1" s="2"/>
      <c r="H1" s="2"/>
      <c r="I1" s="2"/>
      <c r="J1" s="2"/>
      <c r="K1" s="2"/>
      <c r="L1" s="2"/>
    </row>
    <row r="2" customFormat="false" ht="18" hidden="false" customHeight="true" outlineLevel="0" collapsed="false">
      <c r="A2" s="3" t="s">
        <v>562</v>
      </c>
      <c r="B2" s="3"/>
      <c r="C2" s="3"/>
      <c r="D2" s="3"/>
      <c r="E2" s="3"/>
      <c r="F2" s="3"/>
      <c r="G2" s="3"/>
      <c r="H2" s="3"/>
      <c r="I2" s="3"/>
      <c r="J2" s="3"/>
      <c r="K2" s="3"/>
      <c r="L2" s="3"/>
    </row>
    <row r="4" customFormat="false" ht="27.75" hidden="false" customHeight="true" outlineLevel="0" collapsed="false">
      <c r="B4" s="33" t="s">
        <v>338</v>
      </c>
      <c r="C4" s="33" t="s">
        <v>339</v>
      </c>
      <c r="D4" s="33" t="s">
        <v>563</v>
      </c>
      <c r="E4" s="33" t="s">
        <v>543</v>
      </c>
      <c r="F4" s="33" t="s">
        <v>564</v>
      </c>
      <c r="G4" s="33" t="s">
        <v>565</v>
      </c>
      <c r="H4" s="33" t="s">
        <v>566</v>
      </c>
      <c r="I4" s="33" t="s">
        <v>318</v>
      </c>
      <c r="J4" s="33" t="s">
        <v>567</v>
      </c>
      <c r="K4" s="33" t="s">
        <v>345</v>
      </c>
      <c r="L4" s="33" t="s">
        <v>568</v>
      </c>
    </row>
    <row r="5" customFormat="false" ht="15" hidden="false" customHeight="true" outlineLevel="0" collapsed="false">
      <c r="B5" s="89" t="s">
        <v>346</v>
      </c>
      <c r="C5" s="90" t="s">
        <v>347</v>
      </c>
      <c r="D5" s="91" t="n">
        <v>22.5</v>
      </c>
      <c r="E5" s="82" t="n">
        <v>40</v>
      </c>
      <c r="F5" s="92" t="n">
        <f aca="false">D5*E5</f>
        <v>900</v>
      </c>
      <c r="G5" s="70" t="n">
        <v>85</v>
      </c>
      <c r="H5" s="92" t="n">
        <f aca="false">F5+G5</f>
        <v>985</v>
      </c>
      <c r="I5" s="70" t="n">
        <v>109.7</v>
      </c>
      <c r="J5" s="70" t="n">
        <v>61.2</v>
      </c>
      <c r="K5" s="93" t="n">
        <f aca="false">IF(I5=0,"-",H5/I5)</f>
        <v>8.97903372835005</v>
      </c>
      <c r="L5" s="93" t="n">
        <f aca="false">IF(J5=0,"-",F5/J5)</f>
        <v>14.7058823529412</v>
      </c>
    </row>
    <row r="6" customFormat="false" ht="15" hidden="false" customHeight="true" outlineLevel="0" collapsed="false">
      <c r="B6" s="36" t="s">
        <v>349</v>
      </c>
      <c r="C6" s="46" t="s">
        <v>350</v>
      </c>
      <c r="D6" s="91" t="n">
        <v>34</v>
      </c>
      <c r="E6" s="82" t="n">
        <v>38</v>
      </c>
      <c r="F6" s="39" t="n">
        <f aca="false">D6*E6</f>
        <v>1292</v>
      </c>
      <c r="G6" s="70" t="n">
        <v>128</v>
      </c>
      <c r="H6" s="39" t="n">
        <f aca="false">F6+G6</f>
        <v>1420</v>
      </c>
      <c r="I6" s="70" t="n">
        <v>155</v>
      </c>
      <c r="J6" s="70" t="n">
        <v>88</v>
      </c>
      <c r="K6" s="94" t="n">
        <f aca="false">IF(I6=0,"-",H6/I6)</f>
        <v>9.16129032258065</v>
      </c>
      <c r="L6" s="94" t="n">
        <f aca="false">IF(J6=0,"-",F6/J6)</f>
        <v>14.6818181818182</v>
      </c>
    </row>
    <row r="7" customFormat="false" ht="15" hidden="false" customHeight="true" outlineLevel="0" collapsed="false">
      <c r="B7" s="36" t="s">
        <v>351</v>
      </c>
      <c r="C7" s="46" t="s">
        <v>352</v>
      </c>
      <c r="D7" s="91" t="n">
        <v>18.25</v>
      </c>
      <c r="E7" s="82" t="n">
        <v>36</v>
      </c>
      <c r="F7" s="39" t="n">
        <f aca="false">D7*E7</f>
        <v>657</v>
      </c>
      <c r="G7" s="70" t="n">
        <v>103</v>
      </c>
      <c r="H7" s="39" t="n">
        <f aca="false">F7+G7</f>
        <v>760</v>
      </c>
      <c r="I7" s="70" t="n">
        <v>92</v>
      </c>
      <c r="J7" s="70" t="n">
        <v>41.5</v>
      </c>
      <c r="K7" s="94" t="n">
        <f aca="false">IF(I7=0,"-",H7/I7)</f>
        <v>8.26086956521739</v>
      </c>
      <c r="L7" s="94" t="n">
        <f aca="false">IF(J7=0,"-",F7/J7)</f>
        <v>15.8313253012048</v>
      </c>
    </row>
    <row r="8" customFormat="false" ht="15" hidden="false" customHeight="true" outlineLevel="0" collapsed="false">
      <c r="B8" s="36" t="s">
        <v>354</v>
      </c>
      <c r="C8" s="46" t="s">
        <v>355</v>
      </c>
      <c r="D8" s="91" t="n">
        <v>41.8</v>
      </c>
      <c r="E8" s="82" t="n">
        <v>48</v>
      </c>
      <c r="F8" s="39" t="n">
        <f aca="false">D8*E8</f>
        <v>2006.4</v>
      </c>
      <c r="G8" s="70" t="n">
        <v>98.4</v>
      </c>
      <c r="H8" s="39" t="n">
        <f aca="false">F8+G8</f>
        <v>2104.8</v>
      </c>
      <c r="I8" s="70" t="n">
        <v>240</v>
      </c>
      <c r="J8" s="70" t="n">
        <v>130.4</v>
      </c>
      <c r="K8" s="94" t="n">
        <f aca="false">IF(I8=0,"-",H8/I8)</f>
        <v>8.77</v>
      </c>
      <c r="L8" s="94" t="n">
        <f aca="false">IF(J8=0,"-",F8/J8)</f>
        <v>15.3865030674847</v>
      </c>
    </row>
    <row r="9" customFormat="false" ht="15" hidden="false" customHeight="true" outlineLevel="0" collapsed="false">
      <c r="B9" s="36" t="s">
        <v>356</v>
      </c>
      <c r="C9" s="46" t="s">
        <v>357</v>
      </c>
      <c r="D9" s="91" t="n">
        <v>15.1</v>
      </c>
      <c r="E9" s="82" t="n">
        <v>28</v>
      </c>
      <c r="F9" s="39" t="n">
        <f aca="false">D9*E9</f>
        <v>422.8</v>
      </c>
      <c r="G9" s="70" t="n">
        <v>117.2</v>
      </c>
      <c r="H9" s="39" t="n">
        <f aca="false">F9+G9</f>
        <v>540</v>
      </c>
      <c r="I9" s="70" t="n">
        <v>61</v>
      </c>
      <c r="J9" s="70" t="n">
        <v>22</v>
      </c>
      <c r="K9" s="94" t="n">
        <f aca="false">IF(I9=0,"-",H9/I9)</f>
        <v>8.85245901639344</v>
      </c>
      <c r="L9" s="94" t="n">
        <f aca="false">IF(J9=0,"-",F9/J9)</f>
        <v>19.2181818181818</v>
      </c>
    </row>
    <row r="10" customFormat="false" ht="15" hidden="false" customHeight="true" outlineLevel="0" collapsed="false">
      <c r="B10" s="36" t="s">
        <v>358</v>
      </c>
      <c r="C10" s="46" t="s">
        <v>359</v>
      </c>
      <c r="D10" s="91" t="n">
        <v>27.4</v>
      </c>
      <c r="E10" s="82" t="n">
        <v>40</v>
      </c>
      <c r="F10" s="39" t="n">
        <f aca="false">D10*E10</f>
        <v>1096</v>
      </c>
      <c r="G10" s="70" t="n">
        <v>84</v>
      </c>
      <c r="H10" s="39" t="n">
        <f aca="false">F10+G10</f>
        <v>1180</v>
      </c>
      <c r="I10" s="70" t="n">
        <v>150</v>
      </c>
      <c r="J10" s="70" t="n">
        <v>70.1</v>
      </c>
      <c r="K10" s="94" t="n">
        <f aca="false">IF(I10=0,"-",H10/I10)</f>
        <v>7.86666666666667</v>
      </c>
      <c r="L10" s="94" t="n">
        <f aca="false">IF(J10=0,"-",F10/J10)</f>
        <v>15.6348074179743</v>
      </c>
    </row>
    <row r="11" customFormat="false" ht="15" hidden="false" customHeight="true" outlineLevel="0" collapsed="false">
      <c r="B11" s="18" t="s">
        <v>569</v>
      </c>
      <c r="C11" s="18"/>
      <c r="D11" s="18"/>
      <c r="E11" s="18"/>
      <c r="F11" s="18"/>
      <c r="G11" s="18"/>
      <c r="H11" s="18"/>
      <c r="I11" s="18"/>
      <c r="J11" s="18"/>
      <c r="K11" s="18"/>
      <c r="L11" s="18"/>
    </row>
    <row r="13" customFormat="false" ht="18" hidden="false" customHeight="true" outlineLevel="0" collapsed="false">
      <c r="B13" s="5" t="s">
        <v>570</v>
      </c>
      <c r="C13" s="5"/>
      <c r="D13" s="5"/>
      <c r="E13" s="5"/>
      <c r="F13" s="5"/>
      <c r="G13" s="5"/>
      <c r="H13" s="5"/>
      <c r="I13" s="5"/>
      <c r="J13" s="5"/>
      <c r="K13" s="5"/>
      <c r="L13" s="5"/>
    </row>
    <row r="14" customFormat="false" ht="15" hidden="false" customHeight="true" outlineLevel="0" collapsed="false">
      <c r="B14" s="6" t="s">
        <v>571</v>
      </c>
      <c r="K14" s="6" t="s">
        <v>345</v>
      </c>
      <c r="L14" s="6" t="s">
        <v>568</v>
      </c>
    </row>
    <row r="15" customFormat="false" ht="15" hidden="false" customHeight="true" outlineLevel="0" collapsed="false">
      <c r="B15" s="36" t="s">
        <v>572</v>
      </c>
      <c r="K15" s="94" t="n">
        <f aca="false">MAX(K6:K10)</f>
        <v>9.16129032258065</v>
      </c>
      <c r="L15" s="94" t="n">
        <f aca="false">MAX(L6:L10)</f>
        <v>19.2181818181818</v>
      </c>
    </row>
    <row r="16" customFormat="false" ht="15" hidden="false" customHeight="true" outlineLevel="0" collapsed="false">
      <c r="B16" s="36" t="s">
        <v>573</v>
      </c>
      <c r="K16" s="94" t="n">
        <f aca="false">PERCENTILE(K6:K10,0.75)</f>
        <v>8.85245901639344</v>
      </c>
      <c r="L16" s="94" t="n">
        <f aca="false">PERCENTILE(L6:L10,0.75)</f>
        <v>15.8313253012048</v>
      </c>
    </row>
    <row r="17" customFormat="false" ht="15" hidden="false" customHeight="true" outlineLevel="0" collapsed="false">
      <c r="B17" s="95" t="s">
        <v>574</v>
      </c>
      <c r="C17" s="96"/>
      <c r="D17" s="96"/>
      <c r="E17" s="96"/>
      <c r="F17" s="96"/>
      <c r="G17" s="96"/>
      <c r="H17" s="96"/>
      <c r="I17" s="96"/>
      <c r="J17" s="96"/>
      <c r="K17" s="88" t="n">
        <f aca="false">MEDIAN(K6:K10)</f>
        <v>8.77</v>
      </c>
      <c r="L17" s="88" t="n">
        <f aca="false">MEDIAN(L6:L10)</f>
        <v>15.6348074179743</v>
      </c>
    </row>
    <row r="18" customFormat="false" ht="15" hidden="false" customHeight="true" outlineLevel="0" collapsed="false">
      <c r="B18" s="36" t="s">
        <v>575</v>
      </c>
      <c r="K18" s="94" t="n">
        <f aca="false">AVERAGE(K6:K10)</f>
        <v>8.58225711417163</v>
      </c>
      <c r="L18" s="94" t="n">
        <f aca="false">AVERAGE(L6:L10)</f>
        <v>16.1505271573328</v>
      </c>
    </row>
    <row r="19" customFormat="false" ht="15" hidden="false" customHeight="true" outlineLevel="0" collapsed="false">
      <c r="B19" s="36" t="s">
        <v>576</v>
      </c>
      <c r="K19" s="94" t="n">
        <f aca="false">PERCENTILE(K6:K10,0.25)</f>
        <v>8.26086956521739</v>
      </c>
      <c r="L19" s="94" t="n">
        <f aca="false">PERCENTILE(L6:L10,0.25)</f>
        <v>15.3865030674847</v>
      </c>
    </row>
    <row r="20" customFormat="false" ht="15" hidden="false" customHeight="true" outlineLevel="0" collapsed="false">
      <c r="B20" s="36" t="s">
        <v>577</v>
      </c>
      <c r="K20" s="94" t="n">
        <f aca="false">MIN(K6:K10)</f>
        <v>7.86666666666667</v>
      </c>
      <c r="L20" s="94" t="n">
        <f aca="false">MIN(L6:L10)</f>
        <v>14.6818181818182</v>
      </c>
    </row>
    <row r="21" customFormat="false" ht="15" hidden="false" customHeight="true" outlineLevel="0" collapsed="false">
      <c r="B21" s="97" t="s">
        <v>578</v>
      </c>
      <c r="C21" s="98"/>
      <c r="D21" s="98"/>
      <c r="E21" s="98"/>
      <c r="F21" s="98"/>
      <c r="G21" s="98"/>
      <c r="H21" s="98"/>
      <c r="I21" s="98"/>
      <c r="J21" s="98"/>
      <c r="K21" s="99" t="n">
        <f aca="false">K5</f>
        <v>8.97903372835005</v>
      </c>
      <c r="L21" s="99" t="n">
        <f aca="false">L5</f>
        <v>14.7058823529412</v>
      </c>
    </row>
    <row r="23" customFormat="false" ht="15" hidden="false" customHeight="true" outlineLevel="0" collapsed="false">
      <c r="B23" s="12" t="s">
        <v>579</v>
      </c>
      <c r="C23" s="12"/>
      <c r="D23" s="12"/>
      <c r="E23" s="12"/>
      <c r="F23" s="12"/>
      <c r="G23" s="100" t="n">
        <f aca="false">K17*I5-G5</f>
        <v>877.069</v>
      </c>
      <c r="H23" s="57" t="s">
        <v>498</v>
      </c>
    </row>
    <row r="24" customFormat="false" ht="15" hidden="false" customHeight="true" outlineLevel="0" collapsed="false">
      <c r="B24" s="12" t="s">
        <v>580</v>
      </c>
      <c r="C24" s="12"/>
      <c r="D24" s="12"/>
      <c r="E24" s="12"/>
      <c r="F24" s="12"/>
      <c r="G24" s="101" t="n">
        <f aca="false">IF(E5=0,"-",G23/E5)</f>
        <v>21.926725</v>
      </c>
    </row>
    <row r="25" customFormat="false" ht="15" hidden="false" customHeight="true" outlineLevel="0" collapsed="false">
      <c r="B25" s="12" t="s">
        <v>581</v>
      </c>
      <c r="C25" s="12"/>
      <c r="D25" s="12"/>
      <c r="E25" s="12"/>
      <c r="F25" s="12"/>
      <c r="G25" s="101" t="n">
        <f aca="false">IF(E5=0,"-",(L17*J5)/E5)</f>
        <v>23.9212553495007</v>
      </c>
    </row>
    <row r="27" customFormat="false" ht="15" hidden="false" customHeight="true" outlineLevel="0" collapsed="false">
      <c r="B27" s="28" t="s">
        <v>582</v>
      </c>
      <c r="C27" s="28"/>
      <c r="D27" s="28"/>
      <c r="E27" s="28"/>
      <c r="F27" s="28"/>
      <c r="G27" s="28"/>
      <c r="H27" s="28"/>
      <c r="I27" s="28"/>
      <c r="J27" s="28"/>
      <c r="K27" s="28"/>
      <c r="L27" s="28"/>
    </row>
    <row r="28" customFormat="false" ht="15" hidden="false" customHeight="true" outlineLevel="0" collapsed="false">
      <c r="B28" s="28"/>
      <c r="C28" s="28"/>
      <c r="D28" s="28"/>
      <c r="E28" s="28"/>
      <c r="F28" s="28"/>
      <c r="G28" s="28"/>
      <c r="H28" s="28"/>
      <c r="I28" s="28"/>
      <c r="J28" s="28"/>
      <c r="K28" s="28"/>
      <c r="L28" s="28"/>
    </row>
    <row r="29" customFormat="false" ht="15" hidden="false" customHeight="true" outlineLevel="0" collapsed="false">
      <c r="B29" s="28"/>
      <c r="C29" s="28"/>
      <c r="D29" s="28"/>
      <c r="E29" s="28"/>
      <c r="F29" s="28"/>
      <c r="G29" s="28"/>
      <c r="H29" s="28"/>
      <c r="I29" s="28"/>
      <c r="J29" s="28"/>
      <c r="K29" s="28"/>
      <c r="L29" s="28"/>
    </row>
  </sheetData>
  <mergeCells count="8">
    <mergeCell ref="A1:L1"/>
    <mergeCell ref="A2:L2"/>
    <mergeCell ref="B11:L11"/>
    <mergeCell ref="B13:L13"/>
    <mergeCell ref="B23:F23"/>
    <mergeCell ref="B24:F24"/>
    <mergeCell ref="B25:F25"/>
    <mergeCell ref="B27:L29"/>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&amp;LIB Excel Dojo</oddHeader>
    <oddFooter>&amp;RPage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6" min="3" style="1" width="16"/>
    <col collapsed="false" customWidth="true" hidden="false" outlineLevel="0" max="7" min="7" style="1" width="18"/>
    <col collapsed="false" customWidth="true" hidden="false" outlineLevel="0" max="8" min="8" style="1" width="28"/>
  </cols>
  <sheetData>
    <row r="1" customFormat="false" ht="27.75" hidden="false" customHeight="true" outlineLevel="0" collapsed="false">
      <c r="A1" s="2" t="s">
        <v>583</v>
      </c>
      <c r="B1" s="2"/>
      <c r="C1" s="2"/>
      <c r="D1" s="2"/>
      <c r="E1" s="2"/>
      <c r="F1" s="2"/>
      <c r="G1" s="2"/>
      <c r="H1" s="2"/>
    </row>
    <row r="2" customFormat="false" ht="18" hidden="false" customHeight="true" outlineLevel="0" collapsed="false">
      <c r="A2" s="3" t="s">
        <v>584</v>
      </c>
      <c r="B2" s="3"/>
      <c r="C2" s="3"/>
      <c r="D2" s="3"/>
      <c r="E2" s="3"/>
      <c r="F2" s="3"/>
      <c r="G2" s="3"/>
      <c r="H2" s="3"/>
    </row>
    <row r="4" customFormat="false" ht="15" hidden="false" customHeight="true" outlineLevel="0" collapsed="false">
      <c r="B4" s="33" t="s">
        <v>585</v>
      </c>
      <c r="C4" s="33" t="s">
        <v>465</v>
      </c>
      <c r="D4" s="33" t="s">
        <v>466</v>
      </c>
      <c r="E4" s="33" t="s">
        <v>467</v>
      </c>
      <c r="F4" s="33" t="s">
        <v>468</v>
      </c>
      <c r="G4" s="33" t="s">
        <v>469</v>
      </c>
      <c r="H4" s="33" t="s">
        <v>470</v>
      </c>
    </row>
    <row r="5" customFormat="false" ht="15" hidden="false" customHeight="true" outlineLevel="0" collapsed="false">
      <c r="B5" s="36" t="s">
        <v>586</v>
      </c>
      <c r="C5" s="102" t="n">
        <f aca="false">04_3Statement!D55</f>
        <v>0</v>
      </c>
      <c r="D5" s="102" t="n">
        <f aca="false">04_3Statement!E55</f>
        <v>0</v>
      </c>
      <c r="E5" s="102" t="n">
        <f aca="false">04_3Statement!F55</f>
        <v>0</v>
      </c>
      <c r="F5" s="102" t="n">
        <f aca="false">04_3Statement!G55</f>
        <v>0</v>
      </c>
      <c r="G5" s="102" t="n">
        <f aca="false">04_3Statement!H55</f>
        <v>0</v>
      </c>
      <c r="H5" s="102" t="n">
        <f aca="false">04_3Statement!I55</f>
        <v>0</v>
      </c>
    </row>
    <row r="6" customFormat="false" ht="15" hidden="false" customHeight="true" outlineLevel="0" collapsed="false">
      <c r="B6" s="36" t="s">
        <v>587</v>
      </c>
      <c r="C6" s="103" t="n">
        <f aca="false">MAX(ABS(C5),ABS(D5),ABS(E5),ABS(F5),ABS(G5),ABS(H5))</f>
        <v>0</v>
      </c>
      <c r="D6" s="103"/>
      <c r="E6" s="103"/>
      <c r="F6" s="103"/>
      <c r="G6" s="103"/>
      <c r="H6" s="103"/>
    </row>
    <row r="7" customFormat="false" ht="15" hidden="false" customHeight="true" outlineLevel="0" collapsed="false">
      <c r="B7" s="36" t="s">
        <v>588</v>
      </c>
      <c r="C7" s="102" t="str">
        <f aca="false">04_3Statement!D56</f>
        <v>—</v>
      </c>
      <c r="D7" s="102" t="n">
        <f aca="false">04_3Statement!E56</f>
        <v>0</v>
      </c>
      <c r="E7" s="102" t="n">
        <f aca="false">04_3Statement!F56</f>
        <v>0</v>
      </c>
      <c r="F7" s="102" t="n">
        <f aca="false">04_3Statement!G56</f>
        <v>0</v>
      </c>
      <c r="G7" s="102" t="n">
        <f aca="false">04_3Statement!H56</f>
        <v>0</v>
      </c>
      <c r="H7" s="102" t="n">
        <f aca="false">04_3Statement!I56</f>
        <v>0</v>
      </c>
    </row>
    <row r="8" customFormat="false" ht="15" hidden="false" customHeight="true" outlineLevel="0" collapsed="false">
      <c r="B8" s="36" t="s">
        <v>589</v>
      </c>
      <c r="C8" s="102" t="s">
        <v>475</v>
      </c>
      <c r="D8" s="102" t="n">
        <f aca="false">04_3Statement!E48-(04_3Statement!D48-04_3Statement!E15)</f>
        <v>0</v>
      </c>
      <c r="E8" s="102" t="n">
        <f aca="false">04_3Statement!F48-(04_3Statement!E48-04_3Statement!F15)</f>
        <v>0</v>
      </c>
      <c r="F8" s="102" t="n">
        <f aca="false">04_3Statement!G48-(04_3Statement!F48-04_3Statement!G15)</f>
        <v>0</v>
      </c>
      <c r="G8" s="102" t="n">
        <f aca="false">04_3Statement!H48-(04_3Statement!G48-04_3Statement!H15)</f>
        <v>0</v>
      </c>
      <c r="H8" s="102" t="n">
        <f aca="false">04_3Statement!I48-(04_3Statement!H48-04_3Statement!I15)</f>
        <v>0</v>
      </c>
    </row>
    <row r="9" customFormat="false" ht="15" hidden="false" customHeight="true" outlineLevel="0" collapsed="false">
      <c r="B9" s="36" t="s">
        <v>590</v>
      </c>
      <c r="C9" s="102" t="n">
        <f aca="false">04_3Statement!D28+04_3Statement!D29-04_3Statement!D30</f>
        <v>0</v>
      </c>
      <c r="D9" s="102" t="n">
        <f aca="false">04_3Statement!E28+04_3Statement!E29-04_3Statement!E30</f>
        <v>0</v>
      </c>
      <c r="E9" s="102" t="n">
        <f aca="false">04_3Statement!F28+04_3Statement!F29-04_3Statement!F30</f>
        <v>0</v>
      </c>
      <c r="F9" s="102" t="n">
        <f aca="false">04_3Statement!G28+04_3Statement!G29-04_3Statement!G30</f>
        <v>0</v>
      </c>
      <c r="G9" s="102" t="n">
        <f aca="false">04_3Statement!H28+04_3Statement!H29-04_3Statement!H30</f>
        <v>0</v>
      </c>
      <c r="H9" s="102" t="n">
        <f aca="false">04_3Statement!I28+04_3Statement!I29-04_3Statement!I30</f>
        <v>0</v>
      </c>
    </row>
    <row r="10" customFormat="false" ht="15" hidden="false" customHeight="true" outlineLevel="0" collapsed="false">
      <c r="B10" s="36" t="s">
        <v>591</v>
      </c>
      <c r="C10" s="104" t="n">
        <f aca="false">IF(04_3Statement!D50&lt;0,1,0)</f>
        <v>0</v>
      </c>
      <c r="D10" s="104" t="n">
        <f aca="false">IF(04_3Statement!E50&lt;0,1,0)</f>
        <v>0</v>
      </c>
      <c r="E10" s="104" t="n">
        <f aca="false">IF(04_3Statement!F50&lt;0,1,0)</f>
        <v>0</v>
      </c>
      <c r="F10" s="104" t="n">
        <f aca="false">IF(04_3Statement!G50&lt;0,1,0)</f>
        <v>0</v>
      </c>
      <c r="G10" s="104" t="n">
        <f aca="false">IF(04_3Statement!H50&lt;0,1,0)</f>
        <v>0</v>
      </c>
      <c r="H10" s="104" t="n">
        <f aca="false">IF(04_3Statement!I50&lt;0,1,0)</f>
        <v>0</v>
      </c>
    </row>
    <row r="11" customFormat="false" ht="15" hidden="false" customHeight="true" outlineLevel="0" collapsed="false">
      <c r="B11" s="36" t="s">
        <v>592</v>
      </c>
      <c r="C11" s="105" t="n">
        <f aca="false">IFERROR(04_3Statement!D26/ABS(04_3Statement!D27),"-")</f>
        <v>8.25</v>
      </c>
      <c r="D11" s="105" t="n">
        <f aca="false">IFERROR(04_3Statement!E26/ABS(04_3Statement!E27),"-")</f>
        <v>10.1626666666667</v>
      </c>
      <c r="E11" s="105" t="n">
        <f aca="false">IFERROR(04_3Statement!F26/ABS(04_3Statement!F27),"-")</f>
        <v>12.6642857142857</v>
      </c>
      <c r="F11" s="105" t="n">
        <f aca="false">IFERROR(04_3Statement!G26/ABS(04_3Statement!G27),"-")</f>
        <v>13.8465</v>
      </c>
      <c r="G11" s="105" t="n">
        <f aca="false">IFERROR(04_3Statement!H26/ABS(04_3Statement!H27),"-")</f>
        <v>16.7877163636364</v>
      </c>
      <c r="H11" s="105" t="n">
        <f aca="false">IFERROR(04_3Statement!I26/ABS(04_3Statement!I27),"-")</f>
        <v>20.09507508</v>
      </c>
    </row>
    <row r="13" customFormat="false" ht="18" hidden="false" customHeight="true" outlineLevel="0" collapsed="false">
      <c r="B13" s="5" t="s">
        <v>593</v>
      </c>
      <c r="C13" s="5"/>
      <c r="D13" s="5"/>
      <c r="E13" s="5"/>
      <c r="F13" s="5"/>
      <c r="G13" s="5"/>
      <c r="H13" s="5"/>
    </row>
    <row r="14" customFormat="false" ht="18" hidden="false" customHeight="true" outlineLevel="0" collapsed="false">
      <c r="B14" s="11" t="s">
        <v>43</v>
      </c>
      <c r="C14" s="12" t="s">
        <v>594</v>
      </c>
      <c r="D14" s="12"/>
      <c r="E14" s="12"/>
      <c r="F14" s="12"/>
      <c r="G14" s="12"/>
      <c r="H14" s="12"/>
    </row>
    <row r="15" customFormat="false" ht="18" hidden="false" customHeight="true" outlineLevel="0" collapsed="false">
      <c r="B15" s="11" t="s">
        <v>43</v>
      </c>
      <c r="C15" s="12" t="s">
        <v>595</v>
      </c>
      <c r="D15" s="12"/>
      <c r="E15" s="12"/>
      <c r="F15" s="12"/>
      <c r="G15" s="12"/>
      <c r="H15" s="12"/>
    </row>
    <row r="16" customFormat="false" ht="18" hidden="false" customHeight="true" outlineLevel="0" collapsed="false">
      <c r="B16" s="11" t="s">
        <v>43</v>
      </c>
      <c r="C16" s="12" t="s">
        <v>596</v>
      </c>
      <c r="D16" s="12"/>
      <c r="E16" s="12"/>
      <c r="F16" s="12"/>
      <c r="G16" s="12"/>
      <c r="H16" s="12"/>
    </row>
    <row r="17" customFormat="false" ht="18" hidden="false" customHeight="true" outlineLevel="0" collapsed="false">
      <c r="B17" s="11" t="s">
        <v>43</v>
      </c>
      <c r="C17" s="12" t="s">
        <v>597</v>
      </c>
      <c r="D17" s="12"/>
      <c r="E17" s="12"/>
      <c r="F17" s="12"/>
      <c r="G17" s="12"/>
      <c r="H17" s="12"/>
    </row>
    <row r="18" customFormat="false" ht="18" hidden="false" customHeight="true" outlineLevel="0" collapsed="false">
      <c r="B18" s="11" t="s">
        <v>43</v>
      </c>
      <c r="C18" s="12" t="s">
        <v>598</v>
      </c>
      <c r="D18" s="12"/>
      <c r="E18" s="12"/>
      <c r="F18" s="12"/>
      <c r="G18" s="12"/>
      <c r="H18" s="12"/>
    </row>
    <row r="19" customFormat="false" ht="18" hidden="false" customHeight="true" outlineLevel="0" collapsed="false">
      <c r="B19" s="11" t="s">
        <v>43</v>
      </c>
      <c r="C19" s="12" t="s">
        <v>599</v>
      </c>
      <c r="D19" s="12"/>
      <c r="E19" s="12"/>
      <c r="F19" s="12"/>
      <c r="G19" s="12"/>
      <c r="H19" s="12"/>
    </row>
    <row r="21" customFormat="false" ht="17.25" hidden="false" customHeight="true" outlineLevel="0" collapsed="false">
      <c r="B21" s="1" t="s">
        <v>600</v>
      </c>
      <c r="C21" s="106" t="str">
        <f aca="false">IF(AND(C6&lt;0.05,SUM(C10:H10)=0),"ALL CLEAR","FIX BEFORE SEND")</f>
        <v>ALL CLEAR</v>
      </c>
      <c r="D21" s="106"/>
      <c r="E21" s="106"/>
      <c r="F21" s="106"/>
      <c r="G21" s="106"/>
      <c r="H21" s="106"/>
    </row>
  </sheetData>
  <mergeCells count="11">
    <mergeCell ref="A1:H1"/>
    <mergeCell ref="A2:H2"/>
    <mergeCell ref="C6:H6"/>
    <mergeCell ref="B13:H13"/>
    <mergeCell ref="C14:H14"/>
    <mergeCell ref="C15:H15"/>
    <mergeCell ref="C16:H16"/>
    <mergeCell ref="C17:H17"/>
    <mergeCell ref="C18:H18"/>
    <mergeCell ref="C19:H19"/>
    <mergeCell ref="C21:H21"/>
  </mergeCells>
  <conditionalFormatting sqref="C5:H9">
    <cfRule type="expression" priority="2" aboveAverage="0" equalAverage="0" bottom="0" percent="0" rank="0" text="" dxfId="15">
      <formula>AND(ISNUMBER(C5),ABS(C5)&lt;0.05)</formula>
    </cfRule>
    <cfRule type="expression" priority="3" aboveAverage="0" equalAverage="0" bottom="0" percent="0" rank="0" text="" dxfId="16">
      <formula>AND(ISNUMBER(C5),ABS(C5)&gt;=0.05)</formula>
    </cfRule>
  </conditionalFormatting>
  <conditionalFormatting sqref="C10:H10">
    <cfRule type="expression" priority="4" aboveAverage="0" equalAverage="0" bottom="0" percent="0" rank="0" text="" dxfId="16">
      <formula>C10=1</formula>
    </cfRule>
    <cfRule type="expression" priority="5" aboveAverage="0" equalAverage="0" bottom="0" percent="0" rank="0" text="" dxfId="15">
      <formula>C10=0</formula>
    </cfRule>
  </conditionalFormatting>
  <conditionalFormatting sqref="C11:H11">
    <cfRule type="expression" priority="6" aboveAverage="0" equalAverage="0" bottom="0" percent="0" rank="0" text="" dxfId="17">
      <formula>AND(ISNUMBER(C11),C11&lt;2)</formula>
    </cfRule>
  </conditionalFormatting>
  <conditionalFormatting sqref="C21">
    <cfRule type="expression" priority="7" aboveAverage="0" equalAverage="0" bottom="0" percent="0" rank="0" text="" dxfId="18">
      <formula>C21="ALL CLEAR"</formula>
    </cfRule>
    <cfRule type="expression" priority="8" aboveAverage="0" equalAverage="0" bottom="0" percent="0" rank="0" text="" dxfId="19">
      <formula>C21="FIX BEFORE SEND"</formula>
    </cfRule>
  </conditionalFormatting>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&amp;LIB Excel Dojo</oddHeader>
    <oddFooter>&amp;RPage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2"/>
    <col collapsed="false" customWidth="true" hidden="false" outlineLevel="0" max="3" min="3" style="1" width="18"/>
    <col collapsed="false" customWidth="true" hidden="false" outlineLevel="0" max="4" min="4" style="1" width="52"/>
    <col collapsed="false" customWidth="true" hidden="false" outlineLevel="0" max="5" min="5" style="1" width="18"/>
    <col collapsed="false" customWidth="true" hidden="false" outlineLevel="0" max="6" min="6" style="1" width="14"/>
    <col collapsed="false" customWidth="true" hidden="false" outlineLevel="0" max="8" min="7" style="1" width="16"/>
  </cols>
  <sheetData>
    <row r="1" customFormat="false" ht="27.75" hidden="false" customHeight="true" outlineLevel="0" collapsed="false">
      <c r="A1" s="2" t="s">
        <v>601</v>
      </c>
      <c r="B1" s="2"/>
      <c r="C1" s="2"/>
      <c r="D1" s="2"/>
      <c r="E1" s="2"/>
      <c r="F1" s="2"/>
      <c r="G1" s="2"/>
      <c r="H1" s="2"/>
    </row>
    <row r="2" customFormat="false" ht="18" hidden="false" customHeight="true" outlineLevel="0" collapsed="false">
      <c r="A2" s="3" t="s">
        <v>602</v>
      </c>
      <c r="B2" s="3"/>
      <c r="C2" s="3"/>
      <c r="D2" s="3"/>
      <c r="E2" s="3"/>
      <c r="F2" s="3"/>
      <c r="G2" s="3"/>
      <c r="H2" s="3"/>
    </row>
    <row r="4" customFormat="false" ht="15" hidden="false" customHeight="true" outlineLevel="0" collapsed="false">
      <c r="B4" s="33" t="s">
        <v>603</v>
      </c>
      <c r="C4" s="33" t="s">
        <v>604</v>
      </c>
      <c r="D4" s="33" t="s">
        <v>605</v>
      </c>
      <c r="E4" s="33" t="s">
        <v>5</v>
      </c>
      <c r="F4" s="33" t="s">
        <v>606</v>
      </c>
      <c r="G4" s="33" t="s">
        <v>607</v>
      </c>
      <c r="H4" s="33" t="s">
        <v>608</v>
      </c>
    </row>
    <row r="5" customFormat="false" ht="31.5" hidden="false" customHeight="true" outlineLevel="0" collapsed="false">
      <c r="B5" s="49" t="s">
        <v>7</v>
      </c>
      <c r="C5" s="11" t="s">
        <v>609</v>
      </c>
      <c r="D5" s="19" t="s">
        <v>610</v>
      </c>
      <c r="E5" s="57" t="s">
        <v>8</v>
      </c>
      <c r="F5" s="46" t="n">
        <v>25</v>
      </c>
      <c r="G5" s="107"/>
    </row>
    <row r="6" customFormat="false" ht="31.5" hidden="false" customHeight="true" outlineLevel="0" collapsed="false">
      <c r="B6" s="108" t="s">
        <v>10</v>
      </c>
      <c r="C6" s="9" t="s">
        <v>611</v>
      </c>
      <c r="D6" s="22" t="s">
        <v>612</v>
      </c>
      <c r="E6" s="109" t="s">
        <v>613</v>
      </c>
      <c r="F6" s="110" t="n">
        <v>25</v>
      </c>
      <c r="G6" s="107"/>
    </row>
    <row r="7" customFormat="false" ht="31.5" hidden="false" customHeight="true" outlineLevel="0" collapsed="false">
      <c r="B7" s="49" t="s">
        <v>13</v>
      </c>
      <c r="C7" s="11" t="s">
        <v>118</v>
      </c>
      <c r="D7" s="19" t="s">
        <v>614</v>
      </c>
      <c r="E7" s="57" t="s">
        <v>8</v>
      </c>
      <c r="F7" s="46" t="n">
        <v>25</v>
      </c>
      <c r="G7" s="107"/>
    </row>
    <row r="8" customFormat="false" ht="31.5" hidden="false" customHeight="true" outlineLevel="0" collapsed="false">
      <c r="B8" s="108" t="s">
        <v>16</v>
      </c>
      <c r="C8" s="9" t="s">
        <v>615</v>
      </c>
      <c r="D8" s="22" t="s">
        <v>616</v>
      </c>
      <c r="E8" s="109" t="s">
        <v>11</v>
      </c>
      <c r="F8" s="110" t="n">
        <v>40</v>
      </c>
      <c r="G8" s="107"/>
    </row>
    <row r="9" customFormat="false" ht="31.5" hidden="false" customHeight="true" outlineLevel="0" collapsed="false">
      <c r="B9" s="49" t="s">
        <v>19</v>
      </c>
      <c r="C9" s="11" t="s">
        <v>617</v>
      </c>
      <c r="D9" s="19" t="s">
        <v>618</v>
      </c>
      <c r="E9" s="57" t="s">
        <v>14</v>
      </c>
      <c r="F9" s="46" t="n">
        <v>35</v>
      </c>
      <c r="G9" s="107"/>
    </row>
    <row r="10" customFormat="false" ht="31.5" hidden="false" customHeight="true" outlineLevel="0" collapsed="false">
      <c r="B10" s="108" t="s">
        <v>22</v>
      </c>
      <c r="C10" s="9" t="s">
        <v>619</v>
      </c>
      <c r="D10" s="22" t="s">
        <v>620</v>
      </c>
      <c r="E10" s="109" t="s">
        <v>14</v>
      </c>
      <c r="F10" s="110" t="n">
        <v>30</v>
      </c>
      <c r="G10" s="107"/>
    </row>
    <row r="11" customFormat="false" ht="31.5" hidden="false" customHeight="true" outlineLevel="0" collapsed="false">
      <c r="B11" s="49" t="s">
        <v>25</v>
      </c>
      <c r="C11" s="11" t="s">
        <v>621</v>
      </c>
      <c r="D11" s="19" t="s">
        <v>622</v>
      </c>
      <c r="E11" s="57" t="s">
        <v>14</v>
      </c>
      <c r="F11" s="46" t="n">
        <v>35</v>
      </c>
      <c r="G11" s="107"/>
    </row>
    <row r="12" customFormat="false" ht="31.5" hidden="false" customHeight="true" outlineLevel="0" collapsed="false">
      <c r="B12" s="108" t="s">
        <v>28</v>
      </c>
      <c r="C12" s="9" t="s">
        <v>623</v>
      </c>
      <c r="D12" s="22" t="s">
        <v>624</v>
      </c>
      <c r="E12" s="109" t="s">
        <v>17</v>
      </c>
      <c r="F12" s="110" t="n">
        <v>40</v>
      </c>
      <c r="G12" s="107"/>
    </row>
    <row r="13" customFormat="false" ht="31.5" hidden="false" customHeight="true" outlineLevel="0" collapsed="false">
      <c r="B13" s="49" t="s">
        <v>625</v>
      </c>
      <c r="C13" s="11" t="s">
        <v>626</v>
      </c>
      <c r="D13" s="19" t="s">
        <v>627</v>
      </c>
      <c r="E13" s="57" t="s">
        <v>628</v>
      </c>
      <c r="F13" s="46" t="n">
        <v>30</v>
      </c>
      <c r="G13" s="107"/>
    </row>
    <row r="14" customFormat="false" ht="31.5" hidden="false" customHeight="true" outlineLevel="0" collapsed="false">
      <c r="B14" s="108" t="s">
        <v>414</v>
      </c>
      <c r="C14" s="9" t="s">
        <v>629</v>
      </c>
      <c r="D14" s="22" t="s">
        <v>630</v>
      </c>
      <c r="E14" s="109" t="s">
        <v>20</v>
      </c>
      <c r="F14" s="110" t="n">
        <v>40</v>
      </c>
      <c r="G14" s="107"/>
    </row>
    <row r="15" customFormat="false" ht="31.5" hidden="false" customHeight="true" outlineLevel="0" collapsed="false">
      <c r="B15" s="49" t="s">
        <v>418</v>
      </c>
      <c r="C15" s="11" t="s">
        <v>631</v>
      </c>
      <c r="D15" s="19" t="s">
        <v>632</v>
      </c>
      <c r="E15" s="57" t="s">
        <v>23</v>
      </c>
      <c r="F15" s="46" t="n">
        <v>30</v>
      </c>
      <c r="G15" s="107"/>
    </row>
    <row r="16" customFormat="false" ht="31.5" hidden="false" customHeight="true" outlineLevel="0" collapsed="false">
      <c r="B16" s="108" t="s">
        <v>422</v>
      </c>
      <c r="C16" s="9" t="s">
        <v>633</v>
      </c>
      <c r="D16" s="22" t="s">
        <v>634</v>
      </c>
      <c r="E16" s="109" t="s">
        <v>628</v>
      </c>
      <c r="F16" s="110" t="n">
        <v>30</v>
      </c>
      <c r="G16" s="107"/>
    </row>
    <row r="17" customFormat="false" ht="31.5" hidden="false" customHeight="true" outlineLevel="0" collapsed="false">
      <c r="B17" s="49" t="s">
        <v>426</v>
      </c>
      <c r="C17" s="11" t="s">
        <v>635</v>
      </c>
      <c r="D17" s="19" t="s">
        <v>636</v>
      </c>
      <c r="E17" s="57" t="s">
        <v>637</v>
      </c>
      <c r="F17" s="46" t="n">
        <v>30</v>
      </c>
      <c r="G17" s="107"/>
    </row>
    <row r="18" customFormat="false" ht="31.5" hidden="false" customHeight="true" outlineLevel="0" collapsed="false">
      <c r="B18" s="108" t="s">
        <v>430</v>
      </c>
      <c r="C18" s="9" t="s">
        <v>638</v>
      </c>
      <c r="D18" s="22" t="s">
        <v>639</v>
      </c>
      <c r="E18" s="109" t="s">
        <v>640</v>
      </c>
      <c r="F18" s="110" t="n">
        <v>45</v>
      </c>
      <c r="G18" s="107"/>
    </row>
    <row r="20" customFormat="false" ht="15" hidden="false" customHeight="true" outlineLevel="0" collapsed="false">
      <c r="B20" s="1" t="s">
        <v>641</v>
      </c>
      <c r="F20" s="111" t="n">
        <f aca="false">SUM(F5:F18)</f>
        <v>460</v>
      </c>
      <c r="G20" s="36" t="str">
        <f aca="false">COUNTIF(G5:G18,"Y")&amp;" / 14 days"</f>
        <v>0 / 14 days</v>
      </c>
    </row>
    <row r="22" customFormat="false" ht="18" hidden="false" customHeight="true" outlineLevel="0" collapsed="false">
      <c r="B22" s="5" t="s">
        <v>642</v>
      </c>
      <c r="C22" s="5"/>
      <c r="D22" s="5"/>
      <c r="E22" s="5"/>
      <c r="F22" s="5"/>
      <c r="G22" s="5"/>
      <c r="H22" s="5"/>
    </row>
    <row r="23" customFormat="false" ht="21.75" hidden="false" customHeight="true" outlineLevel="0" collapsed="false">
      <c r="B23" s="49" t="s">
        <v>378</v>
      </c>
      <c r="C23" s="12" t="s">
        <v>643</v>
      </c>
      <c r="D23" s="12"/>
      <c r="E23" s="12"/>
      <c r="F23" s="12"/>
      <c r="G23" s="12"/>
      <c r="H23" s="12"/>
    </row>
    <row r="24" customFormat="false" ht="21.75" hidden="false" customHeight="true" outlineLevel="0" collapsed="false">
      <c r="B24" s="49" t="s">
        <v>383</v>
      </c>
      <c r="C24" s="12" t="s">
        <v>644</v>
      </c>
      <c r="D24" s="12"/>
      <c r="E24" s="12"/>
      <c r="F24" s="12"/>
      <c r="G24" s="12"/>
      <c r="H24" s="12"/>
    </row>
    <row r="25" customFormat="false" ht="21.75" hidden="false" customHeight="true" outlineLevel="0" collapsed="false">
      <c r="B25" s="49" t="s">
        <v>386</v>
      </c>
      <c r="C25" s="12" t="s">
        <v>645</v>
      </c>
      <c r="D25" s="12"/>
      <c r="E25" s="12"/>
      <c r="F25" s="12"/>
      <c r="G25" s="12"/>
      <c r="H25" s="12"/>
    </row>
    <row r="26" customFormat="false" ht="21.75" hidden="false" customHeight="true" outlineLevel="0" collapsed="false">
      <c r="B26" s="49" t="s">
        <v>390</v>
      </c>
      <c r="C26" s="12" t="s">
        <v>646</v>
      </c>
      <c r="D26" s="12"/>
      <c r="E26" s="12"/>
      <c r="F26" s="12"/>
      <c r="G26" s="12"/>
      <c r="H26" s="12"/>
    </row>
    <row r="27" customFormat="false" ht="21.75" hidden="false" customHeight="true" outlineLevel="0" collapsed="false">
      <c r="B27" s="49" t="s">
        <v>394</v>
      </c>
      <c r="C27" s="12" t="s">
        <v>647</v>
      </c>
      <c r="D27" s="12"/>
      <c r="E27" s="12"/>
      <c r="F27" s="12"/>
      <c r="G27" s="12"/>
      <c r="H27" s="12"/>
    </row>
    <row r="28" customFormat="false" ht="21.75" hidden="false" customHeight="true" outlineLevel="0" collapsed="false">
      <c r="B28" s="49" t="s">
        <v>398</v>
      </c>
      <c r="C28" s="12" t="s">
        <v>648</v>
      </c>
      <c r="D28" s="12"/>
      <c r="E28" s="12"/>
      <c r="F28" s="12"/>
      <c r="G28" s="12"/>
      <c r="H28" s="12"/>
    </row>
    <row r="29" customFormat="false" ht="21.75" hidden="false" customHeight="true" outlineLevel="0" collapsed="false">
      <c r="B29" s="49" t="s">
        <v>402</v>
      </c>
      <c r="C29" s="12" t="s">
        <v>649</v>
      </c>
      <c r="D29" s="12"/>
      <c r="E29" s="12"/>
      <c r="F29" s="12"/>
      <c r="G29" s="12"/>
      <c r="H29" s="12"/>
    </row>
    <row r="30" customFormat="false" ht="21.75" hidden="false" customHeight="true" outlineLevel="0" collapsed="false">
      <c r="B30" s="49" t="s">
        <v>406</v>
      </c>
      <c r="C30" s="12" t="s">
        <v>650</v>
      </c>
      <c r="D30" s="12"/>
      <c r="E30" s="12"/>
      <c r="F30" s="12"/>
      <c r="G30" s="12"/>
      <c r="H30" s="12"/>
    </row>
    <row r="31" customFormat="false" ht="21.75" hidden="false" customHeight="true" outlineLevel="0" collapsed="false">
      <c r="B31" s="49" t="s">
        <v>410</v>
      </c>
      <c r="C31" s="12" t="s">
        <v>651</v>
      </c>
      <c r="D31" s="12"/>
      <c r="E31" s="12"/>
      <c r="F31" s="12"/>
      <c r="G31" s="12"/>
      <c r="H31" s="12"/>
    </row>
    <row r="32" customFormat="false" ht="21.75" hidden="false" customHeight="true" outlineLevel="0" collapsed="false">
      <c r="B32" s="49" t="s">
        <v>414</v>
      </c>
      <c r="C32" s="12" t="s">
        <v>652</v>
      </c>
      <c r="D32" s="12"/>
      <c r="E32" s="12"/>
      <c r="F32" s="12"/>
      <c r="G32" s="12"/>
      <c r="H32" s="12"/>
    </row>
    <row r="34" customFormat="false" ht="18" hidden="false" customHeight="true" outlineLevel="0" collapsed="false">
      <c r="B34" s="5" t="s">
        <v>653</v>
      </c>
      <c r="C34" s="5"/>
      <c r="D34" s="5"/>
      <c r="E34" s="5"/>
      <c r="F34" s="5"/>
      <c r="G34" s="5"/>
      <c r="H34" s="5"/>
    </row>
    <row r="35" customFormat="false" ht="15" hidden="false" customHeight="true" outlineLevel="0" collapsed="false">
      <c r="B35" s="28" t="s">
        <v>654</v>
      </c>
      <c r="C35" s="28"/>
      <c r="D35" s="28"/>
      <c r="E35" s="28"/>
      <c r="F35" s="28"/>
      <c r="G35" s="28"/>
      <c r="H35" s="28"/>
    </row>
    <row r="36" customFormat="false" ht="15" hidden="false" customHeight="true" outlineLevel="0" collapsed="false">
      <c r="B36" s="28"/>
      <c r="C36" s="28"/>
      <c r="D36" s="28"/>
      <c r="E36" s="28"/>
      <c r="F36" s="28"/>
      <c r="G36" s="28"/>
      <c r="H36" s="28"/>
    </row>
    <row r="37" customFormat="false" ht="15" hidden="false" customHeight="true" outlineLevel="0" collapsed="false">
      <c r="B37" s="28"/>
      <c r="C37" s="28"/>
      <c r="D37" s="28"/>
      <c r="E37" s="28"/>
      <c r="F37" s="28"/>
      <c r="G37" s="28"/>
      <c r="H37" s="28"/>
    </row>
    <row r="38" customFormat="false" ht="15" hidden="false" customHeight="true" outlineLevel="0" collapsed="false">
      <c r="B38" s="28"/>
      <c r="C38" s="28"/>
      <c r="D38" s="28"/>
      <c r="E38" s="28"/>
      <c r="F38" s="28"/>
      <c r="G38" s="28"/>
      <c r="H38" s="28"/>
    </row>
  </sheetData>
  <mergeCells count="15">
    <mergeCell ref="A1:H1"/>
    <mergeCell ref="A2:H2"/>
    <mergeCell ref="B22:H22"/>
    <mergeCell ref="C23:H23"/>
    <mergeCell ref="C24:H24"/>
    <mergeCell ref="C25:H25"/>
    <mergeCell ref="C26:H26"/>
    <mergeCell ref="C27:H27"/>
    <mergeCell ref="C28:H28"/>
    <mergeCell ref="C29:H29"/>
    <mergeCell ref="C30:H30"/>
    <mergeCell ref="C31:H31"/>
    <mergeCell ref="C32:H32"/>
    <mergeCell ref="B34:H34"/>
    <mergeCell ref="B35:H38"/>
  </mergeCell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&amp;LIB Excel Dojo</oddHeader>
    <oddFooter>&amp;RPage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2026-08-30T06:41:50Z</dcterms:created>
  <dc:creator>openpyxl</dc:creator>
  <dc:description/>
  <dc:language>en-US</dc:language>
  <cp:lastModifiedBy/>
  <dcterms:modified xsi:type="dcterms:W3CDTF">2026-08-30T06:42:30Z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